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ocumenttasks/documenttask2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edrive-global.kpmg.com/personal/gupta_arnab_kpmg_nl/Documents/SOTI/"/>
    </mc:Choice>
  </mc:AlternateContent>
  <xr:revisionPtr revIDLastSave="0" documentId="8_{8891089A-C067-487D-984A-09DA985C8D3D}" xr6:coauthVersionLast="47" xr6:coauthVersionMax="47" xr10:uidLastSave="{00000000-0000-0000-0000-000000000000}"/>
  <bookViews>
    <workbookView xWindow="-120" yWindow="-120" windowWidth="29040" windowHeight="17520" xr2:uid="{4D11B881-EA37-4694-BD53-D7EE3B39319E}"/>
  </bookViews>
  <sheets>
    <sheet name="Achmea" sheetId="1" r:id="rId1"/>
    <sheet name="ASR" sheetId="2" r:id="rId2"/>
    <sheet name="Athora" sheetId="3" r:id="rId3"/>
    <sheet name="NN" sheetId="4" r:id="rId4"/>
  </sheets>
  <externalReferences>
    <externalReference r:id="rId5"/>
  </externalReferences>
  <definedNames>
    <definedName name="_UNDO_UPS_" hidden="1">#REF!</definedName>
    <definedName name="_UNDO_UPS_SEL_" hidden="1">#REF!</definedName>
    <definedName name="_UNDO31X31X_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7" i="4" l="1"/>
  <c r="E447" i="4"/>
  <c r="F446" i="4"/>
  <c r="F447" i="4" s="1"/>
  <c r="E446" i="4"/>
  <c r="F445" i="4"/>
  <c r="E445" i="4"/>
  <c r="G443" i="4"/>
  <c r="F442" i="4"/>
  <c r="F443" i="4" s="1"/>
  <c r="E442" i="4"/>
  <c r="E443" i="4" s="1"/>
  <c r="F441" i="4"/>
  <c r="E441" i="4"/>
  <c r="F440" i="4"/>
  <c r="E440" i="4"/>
  <c r="E439" i="4" s="1"/>
  <c r="G439" i="4"/>
  <c r="F439" i="4"/>
  <c r="F435" i="4"/>
  <c r="G433" i="4"/>
  <c r="F433" i="4"/>
  <c r="E433" i="4"/>
  <c r="E432" i="4" s="1"/>
  <c r="E436" i="4" s="1"/>
  <c r="G431" i="4"/>
  <c r="F431" i="4"/>
  <c r="E431" i="4"/>
  <c r="G430" i="4"/>
  <c r="F430" i="4"/>
  <c r="E430" i="4"/>
  <c r="E429" i="4"/>
  <c r="F425" i="4"/>
  <c r="E425" i="4"/>
  <c r="E422" i="4"/>
  <c r="G419" i="4"/>
  <c r="F419" i="4"/>
  <c r="E419" i="4"/>
  <c r="F415" i="4"/>
  <c r="G411" i="4"/>
  <c r="G415" i="4" s="1"/>
  <c r="F411" i="4"/>
  <c r="E411" i="4"/>
  <c r="E415" i="4" s="1"/>
  <c r="G407" i="4"/>
  <c r="F407" i="4"/>
  <c r="F406" i="4" s="1"/>
  <c r="E407" i="4"/>
  <c r="E406" i="4" s="1"/>
  <c r="G406" i="4"/>
  <c r="G400" i="4"/>
  <c r="F400" i="4"/>
  <c r="E400" i="4"/>
  <c r="E398" i="4"/>
  <c r="G394" i="4"/>
  <c r="G398" i="4" s="1"/>
  <c r="F394" i="4"/>
  <c r="F398" i="4" s="1"/>
  <c r="E394" i="4"/>
  <c r="G387" i="4"/>
  <c r="F387" i="4"/>
  <c r="E387" i="4"/>
  <c r="G375" i="4"/>
  <c r="F375" i="4"/>
  <c r="E375" i="4"/>
  <c r="G370" i="4"/>
  <c r="F370" i="4"/>
  <c r="E370" i="4"/>
  <c r="G365" i="4"/>
  <c r="F365" i="4"/>
  <c r="E365" i="4"/>
  <c r="G364" i="4"/>
  <c r="F364" i="4"/>
  <c r="E364" i="4"/>
  <c r="E358" i="4"/>
  <c r="G353" i="4"/>
  <c r="F353" i="4"/>
  <c r="E353" i="4"/>
  <c r="E363" i="4" s="1"/>
  <c r="G343" i="4"/>
  <c r="F343" i="4"/>
  <c r="E343" i="4"/>
  <c r="C340" i="4"/>
  <c r="C339" i="4"/>
  <c r="G334" i="4"/>
  <c r="F334" i="4"/>
  <c r="E334" i="4"/>
  <c r="E336" i="4" s="1"/>
  <c r="G333" i="4"/>
  <c r="G336" i="4" s="1"/>
  <c r="F333" i="4"/>
  <c r="F336" i="4" s="1"/>
  <c r="E333" i="4"/>
  <c r="E331" i="4"/>
  <c r="G330" i="4"/>
  <c r="F330" i="4"/>
  <c r="E330" i="4"/>
  <c r="G329" i="4"/>
  <c r="F329" i="4"/>
  <c r="G328" i="4"/>
  <c r="F328" i="4"/>
  <c r="E328" i="4"/>
  <c r="G325" i="4"/>
  <c r="F325" i="4"/>
  <c r="E325" i="4"/>
  <c r="G324" i="4"/>
  <c r="F324" i="4"/>
  <c r="E324" i="4"/>
  <c r="E306" i="4"/>
  <c r="E305" i="4"/>
  <c r="E313" i="4" s="1"/>
  <c r="E301" i="4"/>
  <c r="E300" i="4"/>
  <c r="F299" i="4"/>
  <c r="E298" i="4"/>
  <c r="F297" i="4"/>
  <c r="E297" i="4"/>
  <c r="E296" i="4" s="1"/>
  <c r="G296" i="4"/>
  <c r="G288" i="4"/>
  <c r="F288" i="4"/>
  <c r="E288" i="4"/>
  <c r="E299" i="4" s="1"/>
  <c r="G287" i="4"/>
  <c r="G285" i="4" s="1"/>
  <c r="F287" i="4"/>
  <c r="E287" i="4"/>
  <c r="G286" i="4"/>
  <c r="F286" i="4"/>
  <c r="E286" i="4"/>
  <c r="E285" i="4" s="1"/>
  <c r="G274" i="4"/>
  <c r="F274" i="4"/>
  <c r="E274" i="4"/>
  <c r="G273" i="4"/>
  <c r="F273" i="4"/>
  <c r="E273" i="4"/>
  <c r="G272" i="4"/>
  <c r="F272" i="4"/>
  <c r="E272" i="4"/>
  <c r="E258" i="4"/>
  <c r="G257" i="4"/>
  <c r="F257" i="4"/>
  <c r="E257" i="4"/>
  <c r="G246" i="4"/>
  <c r="G258" i="4" s="1"/>
  <c r="F246" i="4"/>
  <c r="F258" i="4" s="1"/>
  <c r="G242" i="4"/>
  <c r="F242" i="4"/>
  <c r="E242" i="4"/>
  <c r="C241" i="4"/>
  <c r="F238" i="4"/>
  <c r="E234" i="4"/>
  <c r="F230" i="4"/>
  <c r="E230" i="4"/>
  <c r="F226" i="4"/>
  <c r="E226" i="4"/>
  <c r="F222" i="4"/>
  <c r="E222" i="4"/>
  <c r="F214" i="4"/>
  <c r="E214" i="4"/>
  <c r="E211" i="4"/>
  <c r="G210" i="4"/>
  <c r="F210" i="4"/>
  <c r="E210" i="4"/>
  <c r="G206" i="4"/>
  <c r="F206" i="4"/>
  <c r="E206" i="4"/>
  <c r="G205" i="4"/>
  <c r="F205" i="4"/>
  <c r="E205" i="4"/>
  <c r="G204" i="4"/>
  <c r="F204" i="4"/>
  <c r="E204" i="4"/>
  <c r="G186" i="4"/>
  <c r="F186" i="4"/>
  <c r="F187" i="4" s="1"/>
  <c r="E186" i="4"/>
  <c r="E187" i="4" s="1"/>
  <c r="G185" i="4"/>
  <c r="F185" i="4"/>
  <c r="E185" i="4"/>
  <c r="G181" i="4"/>
  <c r="F181" i="4"/>
  <c r="F190" i="4" s="1"/>
  <c r="E181" i="4"/>
  <c r="E190" i="4" s="1"/>
  <c r="G146" i="4"/>
  <c r="G148" i="4" s="1"/>
  <c r="G152" i="4" s="1"/>
  <c r="G153" i="4" s="1"/>
  <c r="F146" i="4"/>
  <c r="F148" i="4" s="1"/>
  <c r="E146" i="4"/>
  <c r="E148" i="4" s="1"/>
  <c r="F141" i="4"/>
  <c r="E141" i="4"/>
  <c r="G138" i="4"/>
  <c r="G142" i="4" s="1"/>
  <c r="F138" i="4"/>
  <c r="F136" i="4"/>
  <c r="G135" i="4"/>
  <c r="F135" i="4"/>
  <c r="F142" i="4" s="1"/>
  <c r="F152" i="4" s="1"/>
  <c r="F153" i="4" s="1"/>
  <c r="E135" i="4"/>
  <c r="G134" i="4"/>
  <c r="F134" i="4"/>
  <c r="E134" i="4"/>
  <c r="E142" i="4" s="1"/>
  <c r="E152" i="4" s="1"/>
  <c r="E153" i="4" s="1"/>
  <c r="G132" i="4"/>
  <c r="F132" i="4"/>
  <c r="E132" i="4"/>
  <c r="G125" i="4"/>
  <c r="G190" i="4" s="1"/>
  <c r="F125" i="4"/>
  <c r="E125" i="4"/>
  <c r="G119" i="4"/>
  <c r="F119" i="4"/>
  <c r="E119" i="4"/>
  <c r="G111" i="4"/>
  <c r="F111" i="4"/>
  <c r="E111" i="4"/>
  <c r="G108" i="4"/>
  <c r="G99" i="4" s="1"/>
  <c r="F108" i="4"/>
  <c r="E108" i="4"/>
  <c r="G104" i="4"/>
  <c r="F104" i="4"/>
  <c r="F99" i="4" s="1"/>
  <c r="E104" i="4"/>
  <c r="E99" i="4"/>
  <c r="G95" i="4"/>
  <c r="G93" i="4" s="1"/>
  <c r="E95" i="4"/>
  <c r="E93" i="4" s="1"/>
  <c r="G92" i="4"/>
  <c r="F92" i="4"/>
  <c r="F86" i="4" s="1"/>
  <c r="E92" i="4"/>
  <c r="G86" i="4"/>
  <c r="E86" i="4"/>
  <c r="E118" i="4" s="1"/>
  <c r="G78" i="4"/>
  <c r="F78" i="4"/>
  <c r="F76" i="4" s="1"/>
  <c r="E78" i="4"/>
  <c r="E76" i="4" s="1"/>
  <c r="G77" i="4"/>
  <c r="G76" i="4" s="1"/>
  <c r="F77" i="4"/>
  <c r="E77" i="4"/>
  <c r="G62" i="4"/>
  <c r="F62" i="4"/>
  <c r="E62" i="4"/>
  <c r="G61" i="4"/>
  <c r="G60" i="4" s="1"/>
  <c r="F61" i="4"/>
  <c r="E61" i="4"/>
  <c r="E60" i="4" s="1"/>
  <c r="K60" i="4" s="1"/>
  <c r="M60" i="4"/>
  <c r="F60" i="4"/>
  <c r="L60" i="4" s="1"/>
  <c r="K59" i="4"/>
  <c r="G59" i="4"/>
  <c r="F59" i="4"/>
  <c r="E59" i="4"/>
  <c r="M55" i="4"/>
  <c r="G55" i="4"/>
  <c r="F55" i="4"/>
  <c r="E55" i="4"/>
  <c r="G52" i="4"/>
  <c r="F52" i="4"/>
  <c r="F51" i="4" s="1"/>
  <c r="E52" i="4"/>
  <c r="E51" i="4" s="1"/>
  <c r="K51" i="4" s="1"/>
  <c r="M51" i="4"/>
  <c r="L51" i="4"/>
  <c r="G51" i="4"/>
  <c r="G48" i="4"/>
  <c r="F48" i="4"/>
  <c r="E48" i="4"/>
  <c r="G47" i="4"/>
  <c r="F47" i="4"/>
  <c r="L47" i="4" s="1"/>
  <c r="E47" i="4"/>
  <c r="G46" i="4"/>
  <c r="G44" i="4" s="1"/>
  <c r="G43" i="4" s="1"/>
  <c r="M43" i="4" s="1"/>
  <c r="F46" i="4"/>
  <c r="E46" i="4"/>
  <c r="G45" i="4"/>
  <c r="F45" i="4"/>
  <c r="F44" i="4" s="1"/>
  <c r="F43" i="4" s="1"/>
  <c r="E45" i="4"/>
  <c r="G35" i="4"/>
  <c r="F35" i="4"/>
  <c r="E35" i="4"/>
  <c r="G32" i="4"/>
  <c r="F32" i="4"/>
  <c r="E32" i="4"/>
  <c r="E31" i="4"/>
  <c r="G28" i="4"/>
  <c r="G27" i="4" s="1"/>
  <c r="F28" i="4"/>
  <c r="E28" i="4"/>
  <c r="F27" i="4"/>
  <c r="E27" i="4"/>
  <c r="E40" i="4" s="1"/>
  <c r="G24" i="4"/>
  <c r="F24" i="4"/>
  <c r="E24" i="4"/>
  <c r="G23" i="4"/>
  <c r="F23" i="4"/>
  <c r="E23" i="4"/>
  <c r="G17" i="4"/>
  <c r="G22" i="4" s="1"/>
  <c r="G21" i="4" s="1"/>
  <c r="F17" i="4"/>
  <c r="F22" i="4" s="1"/>
  <c r="F21" i="4" s="1"/>
  <c r="E17" i="4"/>
  <c r="E22" i="4" s="1"/>
  <c r="E21" i="4" s="1"/>
  <c r="E41" i="4" s="1"/>
  <c r="G13" i="4"/>
  <c r="F13" i="4"/>
  <c r="E13" i="4"/>
  <c r="G8" i="4"/>
  <c r="K9" i="4" s="1"/>
  <c r="F8" i="4"/>
  <c r="J10" i="4" s="1"/>
  <c r="E8" i="4"/>
  <c r="G337" i="3"/>
  <c r="F337" i="3"/>
  <c r="E337" i="3"/>
  <c r="G333" i="3"/>
  <c r="G335" i="3" s="1"/>
  <c r="F333" i="3"/>
  <c r="E333" i="3"/>
  <c r="G331" i="3"/>
  <c r="F331" i="3"/>
  <c r="E331" i="3"/>
  <c r="G325" i="3"/>
  <c r="F325" i="3"/>
  <c r="E325" i="3"/>
  <c r="F318" i="3"/>
  <c r="G316" i="3"/>
  <c r="G318" i="3" s="1"/>
  <c r="F316" i="3"/>
  <c r="G315" i="3"/>
  <c r="F315" i="3"/>
  <c r="E315" i="3"/>
  <c r="E318" i="3" s="1"/>
  <c r="E335" i="3" s="1"/>
  <c r="E336" i="3" s="1"/>
  <c r="G307" i="3"/>
  <c r="G311" i="3" s="1"/>
  <c r="F307" i="3"/>
  <c r="F311" i="3" s="1"/>
  <c r="E305" i="3"/>
  <c r="E304" i="3"/>
  <c r="E307" i="3" s="1"/>
  <c r="E311" i="3" s="1"/>
  <c r="E301" i="3"/>
  <c r="G294" i="3"/>
  <c r="F294" i="3"/>
  <c r="E294" i="3"/>
  <c r="F293" i="3"/>
  <c r="E293" i="3"/>
  <c r="G289" i="3"/>
  <c r="F289" i="3"/>
  <c r="E289" i="3"/>
  <c r="G284" i="3"/>
  <c r="F284" i="3"/>
  <c r="G283" i="3"/>
  <c r="F283" i="3"/>
  <c r="G272" i="3"/>
  <c r="F272" i="3"/>
  <c r="G262" i="3"/>
  <c r="F262" i="3"/>
  <c r="E262" i="3"/>
  <c r="G255" i="3"/>
  <c r="F255" i="3"/>
  <c r="G253" i="3"/>
  <c r="F253" i="3"/>
  <c r="E253" i="3"/>
  <c r="G249" i="3"/>
  <c r="F249" i="3"/>
  <c r="E249" i="3"/>
  <c r="G248" i="3"/>
  <c r="F248" i="3"/>
  <c r="E248" i="3"/>
  <c r="G244" i="3"/>
  <c r="F244" i="3"/>
  <c r="E244" i="3"/>
  <c r="G243" i="3"/>
  <c r="F243" i="3"/>
  <c r="E243" i="3"/>
  <c r="E232" i="3"/>
  <c r="E231" i="3"/>
  <c r="G227" i="3"/>
  <c r="F227" i="3"/>
  <c r="E227" i="3"/>
  <c r="G226" i="3"/>
  <c r="F226" i="3"/>
  <c r="E226" i="3"/>
  <c r="G225" i="3"/>
  <c r="F225" i="3"/>
  <c r="E225" i="3"/>
  <c r="E224" i="3"/>
  <c r="G213" i="3"/>
  <c r="F213" i="3"/>
  <c r="E213" i="3"/>
  <c r="G212" i="3"/>
  <c r="F212" i="3"/>
  <c r="E212" i="3"/>
  <c r="G211" i="3"/>
  <c r="F211" i="3"/>
  <c r="E211" i="3"/>
  <c r="E197" i="3"/>
  <c r="E196" i="3"/>
  <c r="G195" i="3"/>
  <c r="G197" i="3" s="1"/>
  <c r="F195" i="3"/>
  <c r="F197" i="3" s="1"/>
  <c r="E195" i="3"/>
  <c r="G182" i="3"/>
  <c r="F182" i="3"/>
  <c r="E182" i="3"/>
  <c r="G181" i="3"/>
  <c r="F181" i="3"/>
  <c r="E181" i="3"/>
  <c r="G180" i="3"/>
  <c r="F172" i="3"/>
  <c r="F180" i="3" s="1"/>
  <c r="E172" i="3"/>
  <c r="E180" i="3" s="1"/>
  <c r="G163" i="3"/>
  <c r="G162" i="3"/>
  <c r="E162" i="3"/>
  <c r="E163" i="3" s="1"/>
  <c r="F159" i="3"/>
  <c r="F162" i="3" s="1"/>
  <c r="G157" i="3"/>
  <c r="F157" i="3"/>
  <c r="E157" i="3"/>
  <c r="G126" i="3"/>
  <c r="F126" i="3"/>
  <c r="G124" i="3"/>
  <c r="F124" i="3"/>
  <c r="E124" i="3"/>
  <c r="G122" i="3"/>
  <c r="F122" i="3"/>
  <c r="E122" i="3"/>
  <c r="G117" i="3"/>
  <c r="F117" i="3"/>
  <c r="E115" i="3"/>
  <c r="E114" i="3"/>
  <c r="E112" i="3"/>
  <c r="E118" i="3" s="1"/>
  <c r="G111" i="3"/>
  <c r="G118" i="3" s="1"/>
  <c r="F111" i="3"/>
  <c r="E111" i="3"/>
  <c r="G110" i="3"/>
  <c r="F110" i="3"/>
  <c r="E110" i="3"/>
  <c r="G108" i="3"/>
  <c r="F105" i="3"/>
  <c r="F108" i="3" s="1"/>
  <c r="E105" i="3"/>
  <c r="E108" i="3" s="1"/>
  <c r="E128" i="3" s="1"/>
  <c r="E129" i="3" s="1"/>
  <c r="G101" i="3"/>
  <c r="G166" i="3" s="1"/>
  <c r="F101" i="3"/>
  <c r="E101" i="3"/>
  <c r="G95" i="3"/>
  <c r="F95" i="3"/>
  <c r="E95" i="3"/>
  <c r="G88" i="3"/>
  <c r="F88" i="3"/>
  <c r="E88" i="3"/>
  <c r="G85" i="3"/>
  <c r="G76" i="3" s="1"/>
  <c r="F85" i="3"/>
  <c r="F76" i="3" s="1"/>
  <c r="E85" i="3"/>
  <c r="G81" i="3"/>
  <c r="F81" i="3"/>
  <c r="E81" i="3"/>
  <c r="E76" i="3"/>
  <c r="G75" i="3"/>
  <c r="G247" i="3" s="1"/>
  <c r="G277" i="3" s="1"/>
  <c r="F75" i="3"/>
  <c r="F247" i="3" s="1"/>
  <c r="F277" i="3" s="1"/>
  <c r="E75" i="3"/>
  <c r="G74" i="3"/>
  <c r="G252" i="3" s="1"/>
  <c r="F74" i="3"/>
  <c r="F252" i="3" s="1"/>
  <c r="E72" i="3"/>
  <c r="F70" i="3"/>
  <c r="G69" i="3"/>
  <c r="G72" i="3" s="1"/>
  <c r="F69" i="3"/>
  <c r="F72" i="3" s="1"/>
  <c r="E69" i="3"/>
  <c r="E63" i="3" s="1"/>
  <c r="G63" i="3"/>
  <c r="F63" i="3"/>
  <c r="F94" i="3" s="1"/>
  <c r="F60" i="3"/>
  <c r="E60" i="3"/>
  <c r="E166" i="3" s="1"/>
  <c r="G55" i="3"/>
  <c r="F55" i="3"/>
  <c r="E55" i="3"/>
  <c r="E53" i="3" s="1"/>
  <c r="G54" i="3"/>
  <c r="G53" i="3" s="1"/>
  <c r="F54" i="3"/>
  <c r="E54" i="3"/>
  <c r="F53" i="3"/>
  <c r="G34" i="3"/>
  <c r="F34" i="3"/>
  <c r="E34" i="3"/>
  <c r="G31" i="3"/>
  <c r="G39" i="3" s="1"/>
  <c r="F31" i="3"/>
  <c r="E31" i="3"/>
  <c r="J29" i="3"/>
  <c r="G27" i="3"/>
  <c r="F27" i="3"/>
  <c r="E27" i="3"/>
  <c r="G26" i="3"/>
  <c r="F26" i="3"/>
  <c r="E26" i="3"/>
  <c r="E39" i="3" s="1"/>
  <c r="G24" i="3"/>
  <c r="F24" i="3"/>
  <c r="G23" i="3"/>
  <c r="F23" i="3"/>
  <c r="E23" i="3"/>
  <c r="G17" i="3"/>
  <c r="F17" i="3"/>
  <c r="E17" i="3"/>
  <c r="G13" i="3"/>
  <c r="F13" i="3"/>
  <c r="E13" i="3"/>
  <c r="G9" i="3"/>
  <c r="G22" i="3" s="1"/>
  <c r="G21" i="3" s="1"/>
  <c r="F9" i="3"/>
  <c r="E9" i="3"/>
  <c r="G8" i="3"/>
  <c r="E8" i="3"/>
  <c r="G502" i="2"/>
  <c r="F502" i="2"/>
  <c r="E502" i="2"/>
  <c r="G490" i="2"/>
  <c r="F490" i="2"/>
  <c r="E490" i="2"/>
  <c r="G471" i="2"/>
  <c r="G473" i="2" s="1"/>
  <c r="G507" i="2" s="1"/>
  <c r="F471" i="2"/>
  <c r="F473" i="2" s="1"/>
  <c r="F507" i="2" s="1"/>
  <c r="E471" i="2"/>
  <c r="G465" i="2"/>
  <c r="F465" i="2"/>
  <c r="E465" i="2"/>
  <c r="E473" i="2" s="1"/>
  <c r="E507" i="2" s="1"/>
  <c r="G456" i="2"/>
  <c r="F456" i="2"/>
  <c r="E456" i="2"/>
  <c r="G433" i="2"/>
  <c r="F433" i="2"/>
  <c r="E433" i="2"/>
  <c r="G428" i="2"/>
  <c r="F428" i="2"/>
  <c r="E428" i="2"/>
  <c r="G423" i="2"/>
  <c r="F423" i="2"/>
  <c r="G422" i="2"/>
  <c r="F422" i="2"/>
  <c r="F411" i="2"/>
  <c r="G401" i="2"/>
  <c r="E398" i="2"/>
  <c r="E401" i="2" s="1"/>
  <c r="C398" i="2"/>
  <c r="G397" i="2"/>
  <c r="C397" i="2"/>
  <c r="C396" i="2"/>
  <c r="F395" i="2"/>
  <c r="F401" i="2" s="1"/>
  <c r="C395" i="2"/>
  <c r="G386" i="2"/>
  <c r="F386" i="2"/>
  <c r="E386" i="2"/>
  <c r="G385" i="2"/>
  <c r="E385" i="2"/>
  <c r="F384" i="2"/>
  <c r="F387" i="2" s="1"/>
  <c r="E384" i="2"/>
  <c r="E387" i="2" s="1"/>
  <c r="G380" i="2"/>
  <c r="G411" i="2" s="1"/>
  <c r="F380" i="2"/>
  <c r="E380" i="2"/>
  <c r="G376" i="2"/>
  <c r="F376" i="2"/>
  <c r="E376" i="2"/>
  <c r="E375" i="2"/>
  <c r="G368" i="2"/>
  <c r="G375" i="2" s="1"/>
  <c r="F368" i="2"/>
  <c r="F375" i="2" s="1"/>
  <c r="G356" i="2"/>
  <c r="G363" i="2" s="1"/>
  <c r="F356" i="2"/>
  <c r="E356" i="2"/>
  <c r="E355" i="2"/>
  <c r="E363" i="2" s="1"/>
  <c r="G352" i="2"/>
  <c r="F345" i="2" s="1"/>
  <c r="F352" i="2"/>
  <c r="F348" i="2"/>
  <c r="E348" i="2"/>
  <c r="E346" i="2" s="1"/>
  <c r="F347" i="2"/>
  <c r="E347" i="2"/>
  <c r="G346" i="2"/>
  <c r="F346" i="2"/>
  <c r="E345" i="2"/>
  <c r="G341" i="2"/>
  <c r="F341" i="2"/>
  <c r="E334" i="2" s="1"/>
  <c r="E340" i="2"/>
  <c r="F339" i="2"/>
  <c r="E339" i="2"/>
  <c r="F337" i="2"/>
  <c r="E337" i="2"/>
  <c r="G336" i="2"/>
  <c r="F336" i="2"/>
  <c r="E336" i="2"/>
  <c r="E335" i="2"/>
  <c r="G334" i="2"/>
  <c r="F334" i="2"/>
  <c r="G329" i="2"/>
  <c r="F328" i="2"/>
  <c r="E284" i="2" s="1"/>
  <c r="E328" i="2"/>
  <c r="F286" i="2"/>
  <c r="F330" i="2" s="1"/>
  <c r="E286" i="2"/>
  <c r="E330" i="2" s="1"/>
  <c r="F285" i="2"/>
  <c r="F261" i="2" s="1"/>
  <c r="F272" i="2" s="1"/>
  <c r="F284" i="2"/>
  <c r="G271" i="2"/>
  <c r="F271" i="2"/>
  <c r="E271" i="2"/>
  <c r="G270" i="2"/>
  <c r="F270" i="2"/>
  <c r="E270" i="2"/>
  <c r="F269" i="2"/>
  <c r="E269" i="2"/>
  <c r="G268" i="2"/>
  <c r="G273" i="2" s="1"/>
  <c r="F268" i="2"/>
  <c r="F273" i="2" s="1"/>
  <c r="E268" i="2"/>
  <c r="E273" i="2" s="1"/>
  <c r="F267" i="2"/>
  <c r="E267" i="2"/>
  <c r="G266" i="2"/>
  <c r="F266" i="2"/>
  <c r="E266" i="2"/>
  <c r="G265" i="2"/>
  <c r="F265" i="2"/>
  <c r="E265" i="2"/>
  <c r="G264" i="2"/>
  <c r="F264" i="2"/>
  <c r="E264" i="2"/>
  <c r="F263" i="2"/>
  <c r="E263" i="2"/>
  <c r="G262" i="2"/>
  <c r="F262" i="2"/>
  <c r="E262" i="2"/>
  <c r="G261" i="2"/>
  <c r="G272" i="2" s="1"/>
  <c r="E257" i="2"/>
  <c r="G256" i="2"/>
  <c r="F256" i="2"/>
  <c r="E256" i="2"/>
  <c r="G251" i="2"/>
  <c r="F251" i="2"/>
  <c r="E251" i="2"/>
  <c r="G250" i="2"/>
  <c r="F250" i="2"/>
  <c r="E250" i="2"/>
  <c r="G249" i="2"/>
  <c r="F249" i="2"/>
  <c r="F257" i="2" s="1"/>
  <c r="E249" i="2"/>
  <c r="G248" i="2"/>
  <c r="F248" i="2"/>
  <c r="E248" i="2"/>
  <c r="G247" i="2"/>
  <c r="G257" i="2" s="1"/>
  <c r="F247" i="2"/>
  <c r="E247" i="2"/>
  <c r="G246" i="2"/>
  <c r="F246" i="2"/>
  <c r="E246" i="2"/>
  <c r="F243" i="2"/>
  <c r="F211" i="2"/>
  <c r="E211" i="2"/>
  <c r="E243" i="2" s="1"/>
  <c r="F210" i="2"/>
  <c r="F195" i="2" s="1"/>
  <c r="F209" i="2"/>
  <c r="F241" i="2" s="1"/>
  <c r="E209" i="2" s="1"/>
  <c r="E205" i="2"/>
  <c r="G203" i="2"/>
  <c r="G206" i="2" s="1"/>
  <c r="F203" i="2"/>
  <c r="F258" i="2" s="1"/>
  <c r="F202" i="2"/>
  <c r="E202" i="2"/>
  <c r="F201" i="2"/>
  <c r="E201" i="2"/>
  <c r="G200" i="2"/>
  <c r="G205" i="2" s="1"/>
  <c r="F200" i="2"/>
  <c r="F205" i="2" s="1"/>
  <c r="E200" i="2"/>
  <c r="G199" i="2"/>
  <c r="F199" i="2"/>
  <c r="E199" i="2"/>
  <c r="G198" i="2"/>
  <c r="F198" i="2"/>
  <c r="E198" i="2"/>
  <c r="F197" i="2"/>
  <c r="E197" i="2"/>
  <c r="G196" i="2"/>
  <c r="F196" i="2"/>
  <c r="E196" i="2"/>
  <c r="G195" i="2"/>
  <c r="G190" i="2"/>
  <c r="F190" i="2"/>
  <c r="E190" i="2"/>
  <c r="G183" i="2"/>
  <c r="G381" i="2" s="1"/>
  <c r="F183" i="2"/>
  <c r="E183" i="2"/>
  <c r="E381" i="2" s="1"/>
  <c r="G181" i="2"/>
  <c r="F181" i="2"/>
  <c r="E181" i="2"/>
  <c r="F148" i="2"/>
  <c r="E148" i="2"/>
  <c r="G147" i="2"/>
  <c r="F147" i="2"/>
  <c r="E147" i="2"/>
  <c r="G146" i="2"/>
  <c r="G148" i="2" s="1"/>
  <c r="F146" i="2"/>
  <c r="E146" i="2"/>
  <c r="G138" i="2"/>
  <c r="F138" i="2"/>
  <c r="E138" i="2"/>
  <c r="E142" i="2" s="1"/>
  <c r="G135" i="2"/>
  <c r="F135" i="2"/>
  <c r="E135" i="2"/>
  <c r="G134" i="2"/>
  <c r="F134" i="2"/>
  <c r="E134" i="2"/>
  <c r="G132" i="2"/>
  <c r="F132" i="2"/>
  <c r="E132" i="2"/>
  <c r="G125" i="2"/>
  <c r="F125" i="2"/>
  <c r="E125" i="2"/>
  <c r="G121" i="2"/>
  <c r="F121" i="2"/>
  <c r="G119" i="2"/>
  <c r="F119" i="2"/>
  <c r="E119" i="2"/>
  <c r="G116" i="2"/>
  <c r="G115" i="2"/>
  <c r="G111" i="2" s="1"/>
  <c r="F115" i="2"/>
  <c r="F111" i="2" s="1"/>
  <c r="E115" i="2"/>
  <c r="E111" i="2" s="1"/>
  <c r="G108" i="2"/>
  <c r="F108" i="2"/>
  <c r="E108" i="2"/>
  <c r="E107" i="2"/>
  <c r="E106" i="2"/>
  <c r="E105" i="2"/>
  <c r="G104" i="2"/>
  <c r="F104" i="2"/>
  <c r="F99" i="2" s="1"/>
  <c r="E104" i="2"/>
  <c r="E99" i="2" s="1"/>
  <c r="G103" i="2"/>
  <c r="G99" i="2" s="1"/>
  <c r="F103" i="2"/>
  <c r="E103" i="2"/>
  <c r="G101" i="2"/>
  <c r="F101" i="2"/>
  <c r="F385" i="2" s="1"/>
  <c r="E101" i="2"/>
  <c r="G98" i="2"/>
  <c r="G379" i="2" s="1"/>
  <c r="G416" i="2" s="1"/>
  <c r="F98" i="2"/>
  <c r="F379" i="2" s="1"/>
  <c r="E98" i="2"/>
  <c r="E121" i="2" s="1"/>
  <c r="G97" i="2"/>
  <c r="F97" i="2"/>
  <c r="E97" i="2"/>
  <c r="F92" i="2"/>
  <c r="F95" i="2" s="1"/>
  <c r="E92" i="2"/>
  <c r="E95" i="2" s="1"/>
  <c r="E93" i="2" s="1"/>
  <c r="G90" i="2"/>
  <c r="G337" i="2" s="1"/>
  <c r="F90" i="2"/>
  <c r="E90" i="2"/>
  <c r="G87" i="2"/>
  <c r="G88" i="2" s="1"/>
  <c r="F87" i="2"/>
  <c r="F88" i="2" s="1"/>
  <c r="E87" i="2"/>
  <c r="E88" i="2" s="1"/>
  <c r="E338" i="2" s="1"/>
  <c r="G78" i="2"/>
  <c r="F78" i="2"/>
  <c r="E78" i="2"/>
  <c r="G77" i="2"/>
  <c r="G76" i="2" s="1"/>
  <c r="F77" i="2"/>
  <c r="E77" i="2"/>
  <c r="F76" i="2"/>
  <c r="E76" i="2"/>
  <c r="F60" i="2"/>
  <c r="E60" i="2"/>
  <c r="E59" i="2" s="1"/>
  <c r="C60" i="2"/>
  <c r="F59" i="2"/>
  <c r="F58" i="2"/>
  <c r="G56" i="2"/>
  <c r="F56" i="2"/>
  <c r="E56" i="2"/>
  <c r="F55" i="2"/>
  <c r="E55" i="2"/>
  <c r="G54" i="2"/>
  <c r="F54" i="2"/>
  <c r="F30" i="2" s="1"/>
  <c r="E54" i="2"/>
  <c r="C54" i="2" s="1"/>
  <c r="F53" i="2"/>
  <c r="E53" i="2"/>
  <c r="E29" i="2" s="1"/>
  <c r="E274" i="2" s="1"/>
  <c r="C53" i="2"/>
  <c r="F52" i="2"/>
  <c r="F51" i="2" s="1"/>
  <c r="E52" i="2"/>
  <c r="G48" i="2"/>
  <c r="F48" i="2"/>
  <c r="E48" i="2"/>
  <c r="E33" i="2" s="1"/>
  <c r="E32" i="2" s="1"/>
  <c r="G47" i="2"/>
  <c r="F47" i="2"/>
  <c r="E47" i="2"/>
  <c r="J46" i="2"/>
  <c r="G46" i="2"/>
  <c r="F46" i="2"/>
  <c r="E46" i="2"/>
  <c r="G45" i="2"/>
  <c r="F45" i="2"/>
  <c r="F29" i="2" s="1"/>
  <c r="F274" i="2" s="1"/>
  <c r="E45" i="2"/>
  <c r="G44" i="2"/>
  <c r="F44" i="2"/>
  <c r="F28" i="2" s="1"/>
  <c r="F27" i="2" s="1"/>
  <c r="F40" i="2" s="1"/>
  <c r="E44" i="2"/>
  <c r="F43" i="2"/>
  <c r="E43" i="2"/>
  <c r="G37" i="2"/>
  <c r="F37" i="2"/>
  <c r="E37" i="2"/>
  <c r="G36" i="2"/>
  <c r="F36" i="2"/>
  <c r="E36" i="2"/>
  <c r="E35" i="2" s="1"/>
  <c r="G35" i="2"/>
  <c r="F35" i="2"/>
  <c r="G34" i="2"/>
  <c r="F34" i="2"/>
  <c r="E34" i="2"/>
  <c r="F33" i="2"/>
  <c r="F32" i="2"/>
  <c r="G31" i="2"/>
  <c r="F31" i="2"/>
  <c r="E31" i="2"/>
  <c r="G30" i="2"/>
  <c r="G24" i="2"/>
  <c r="F24" i="2"/>
  <c r="E24" i="2"/>
  <c r="F23" i="2"/>
  <c r="E23" i="2"/>
  <c r="E22" i="2"/>
  <c r="E21" i="2"/>
  <c r="G17" i="2"/>
  <c r="F17" i="2"/>
  <c r="E17" i="2"/>
  <c r="G13" i="2"/>
  <c r="F13" i="2"/>
  <c r="E13" i="2"/>
  <c r="G10" i="2"/>
  <c r="G23" i="2" s="1"/>
  <c r="F10" i="2"/>
  <c r="G9" i="2"/>
  <c r="F9" i="2"/>
  <c r="F22" i="2" s="1"/>
  <c r="G8" i="2"/>
  <c r="F8" i="2"/>
  <c r="E8" i="2"/>
  <c r="G513" i="1"/>
  <c r="F513" i="1"/>
  <c r="E513" i="1"/>
  <c r="G511" i="1"/>
  <c r="G515" i="1" s="1"/>
  <c r="F511" i="1"/>
  <c r="E511" i="1"/>
  <c r="E515" i="1" s="1"/>
  <c r="G506" i="1"/>
  <c r="E506" i="1"/>
  <c r="F505" i="1"/>
  <c r="F506" i="1" s="1"/>
  <c r="E505" i="1"/>
  <c r="G497" i="1"/>
  <c r="F497" i="1"/>
  <c r="F496" i="1"/>
  <c r="E496" i="1"/>
  <c r="E497" i="1" s="1"/>
  <c r="G479" i="1"/>
  <c r="G484" i="1" s="1"/>
  <c r="F479" i="1"/>
  <c r="F484" i="1" s="1"/>
  <c r="E479" i="1"/>
  <c r="E484" i="1" s="1"/>
  <c r="G475" i="1"/>
  <c r="F475" i="1"/>
  <c r="G464" i="1"/>
  <c r="G468" i="1" s="1"/>
  <c r="F464" i="1"/>
  <c r="F468" i="1" s="1"/>
  <c r="E464" i="1"/>
  <c r="E468" i="1" s="1"/>
  <c r="G448" i="1"/>
  <c r="F448" i="1"/>
  <c r="E448" i="1"/>
  <c r="F447" i="1"/>
  <c r="E447" i="1"/>
  <c r="G438" i="1"/>
  <c r="F438" i="1"/>
  <c r="G437" i="1"/>
  <c r="F437" i="1"/>
  <c r="G436" i="1"/>
  <c r="F431" i="1"/>
  <c r="C411" i="1"/>
  <c r="G410" i="1"/>
  <c r="F410" i="1"/>
  <c r="F407" i="1" s="1"/>
  <c r="E410" i="1"/>
  <c r="G409" i="1"/>
  <c r="G415" i="1" s="1"/>
  <c r="F409" i="1"/>
  <c r="F415" i="1" s="1"/>
  <c r="E409" i="1"/>
  <c r="E408" i="1"/>
  <c r="C408" i="1"/>
  <c r="G407" i="1"/>
  <c r="G398" i="1"/>
  <c r="F398" i="1"/>
  <c r="E398" i="1"/>
  <c r="G397" i="1"/>
  <c r="F397" i="1"/>
  <c r="F399" i="1" s="1"/>
  <c r="E397" i="1"/>
  <c r="G393" i="1"/>
  <c r="F393" i="1"/>
  <c r="E393" i="1"/>
  <c r="G392" i="1"/>
  <c r="F392" i="1"/>
  <c r="F426" i="1" s="1"/>
  <c r="F436" i="1" s="1"/>
  <c r="E392" i="1"/>
  <c r="E394" i="1" s="1"/>
  <c r="G391" i="1"/>
  <c r="G394" i="1" s="1"/>
  <c r="F391" i="1"/>
  <c r="E391" i="1"/>
  <c r="G382" i="1"/>
  <c r="G388" i="1" s="1"/>
  <c r="F382" i="1"/>
  <c r="F388" i="1" s="1"/>
  <c r="E382" i="1"/>
  <c r="E388" i="1" s="1"/>
  <c r="E378" i="1"/>
  <c r="G375" i="1"/>
  <c r="G376" i="1" s="1"/>
  <c r="G374" i="1"/>
  <c r="F374" i="1"/>
  <c r="E374" i="1"/>
  <c r="E375" i="1" s="1"/>
  <c r="E376" i="1" s="1"/>
  <c r="G373" i="1"/>
  <c r="F373" i="1"/>
  <c r="E373" i="1"/>
  <c r="G372" i="1"/>
  <c r="F372" i="1"/>
  <c r="E372" i="1"/>
  <c r="G371" i="1"/>
  <c r="G369" i="1" s="1"/>
  <c r="F371" i="1"/>
  <c r="E371" i="1"/>
  <c r="G370" i="1"/>
  <c r="F370" i="1"/>
  <c r="E370" i="1"/>
  <c r="E369" i="1" s="1"/>
  <c r="E377" i="1" s="1"/>
  <c r="G368" i="1"/>
  <c r="F368" i="1"/>
  <c r="G364" i="1"/>
  <c r="F356" i="1" s="1"/>
  <c r="E368" i="1" s="1"/>
  <c r="F362" i="1"/>
  <c r="F364" i="1" s="1"/>
  <c r="E356" i="1" s="1"/>
  <c r="E364" i="1" s="1"/>
  <c r="E362" i="1"/>
  <c r="G357" i="1"/>
  <c r="F357" i="1"/>
  <c r="E357" i="1"/>
  <c r="E352" i="1"/>
  <c r="E340" i="1" s="1"/>
  <c r="E350" i="1"/>
  <c r="E338" i="1" s="1"/>
  <c r="E335" i="1" s="1"/>
  <c r="G347" i="1"/>
  <c r="G353" i="1" s="1"/>
  <c r="F347" i="1"/>
  <c r="E347" i="1"/>
  <c r="G340" i="1"/>
  <c r="F340" i="1"/>
  <c r="G339" i="1"/>
  <c r="F339" i="1"/>
  <c r="E339" i="1"/>
  <c r="G338" i="1"/>
  <c r="F338" i="1"/>
  <c r="G337" i="1"/>
  <c r="F337" i="1"/>
  <c r="E337" i="1"/>
  <c r="G336" i="1"/>
  <c r="G335" i="1" s="1"/>
  <c r="F336" i="1"/>
  <c r="E336" i="1"/>
  <c r="F335" i="1"/>
  <c r="G334" i="1"/>
  <c r="G331" i="1"/>
  <c r="F331" i="1"/>
  <c r="E331" i="1"/>
  <c r="G330" i="1"/>
  <c r="F290" i="1" s="1"/>
  <c r="F330" i="1" s="1"/>
  <c r="E330" i="1"/>
  <c r="G329" i="1"/>
  <c r="F329" i="1"/>
  <c r="E329" i="1"/>
  <c r="E276" i="1" s="1"/>
  <c r="F326" i="1"/>
  <c r="G318" i="1"/>
  <c r="F289" i="1"/>
  <c r="G276" i="1"/>
  <c r="G277" i="1" s="1"/>
  <c r="F276" i="1"/>
  <c r="G275" i="1"/>
  <c r="F275" i="1"/>
  <c r="E275" i="1"/>
  <c r="G274" i="1"/>
  <c r="F274" i="1"/>
  <c r="E274" i="1"/>
  <c r="G273" i="1"/>
  <c r="G278" i="1" s="1"/>
  <c r="F273" i="1"/>
  <c r="F278" i="1" s="1"/>
  <c r="E273" i="1"/>
  <c r="E278" i="1" s="1"/>
  <c r="G272" i="1"/>
  <c r="F272" i="1"/>
  <c r="E272" i="1"/>
  <c r="G271" i="1"/>
  <c r="F271" i="1"/>
  <c r="E271" i="1"/>
  <c r="G270" i="1"/>
  <c r="F270" i="1"/>
  <c r="E270" i="1"/>
  <c r="G269" i="1"/>
  <c r="F269" i="1"/>
  <c r="E269" i="1"/>
  <c r="G268" i="1"/>
  <c r="F268" i="1"/>
  <c r="E268" i="1"/>
  <c r="G267" i="1"/>
  <c r="F267" i="1"/>
  <c r="E267" i="1"/>
  <c r="G266" i="1"/>
  <c r="F266" i="1"/>
  <c r="E266" i="1"/>
  <c r="G263" i="1"/>
  <c r="G262" i="1"/>
  <c r="F262" i="1"/>
  <c r="E262" i="1"/>
  <c r="G256" i="1"/>
  <c r="F256" i="1"/>
  <c r="E256" i="1"/>
  <c r="G252" i="1"/>
  <c r="F252" i="1"/>
  <c r="E252" i="1"/>
  <c r="G251" i="1"/>
  <c r="F251" i="1"/>
  <c r="E251" i="1"/>
  <c r="G248" i="1"/>
  <c r="F212" i="1" s="1"/>
  <c r="F248" i="1" s="1"/>
  <c r="E248" i="1"/>
  <c r="G247" i="1"/>
  <c r="G246" i="1"/>
  <c r="F211" i="1"/>
  <c r="F247" i="1" s="1"/>
  <c r="E211" i="1" s="1"/>
  <c r="E247" i="1" s="1"/>
  <c r="F210" i="1"/>
  <c r="G206" i="1"/>
  <c r="F206" i="1"/>
  <c r="G204" i="1"/>
  <c r="F203" i="1"/>
  <c r="E203" i="1"/>
  <c r="F202" i="1"/>
  <c r="E202" i="1"/>
  <c r="G201" i="1"/>
  <c r="F201" i="1"/>
  <c r="E201" i="1"/>
  <c r="E206" i="1" s="1"/>
  <c r="G200" i="1"/>
  <c r="F200" i="1"/>
  <c r="E200" i="1"/>
  <c r="F199" i="1"/>
  <c r="E199" i="1"/>
  <c r="F198" i="1"/>
  <c r="E198" i="1"/>
  <c r="F197" i="1"/>
  <c r="E197" i="1"/>
  <c r="G196" i="1"/>
  <c r="G191" i="1"/>
  <c r="F187" i="1"/>
  <c r="E187" i="1"/>
  <c r="E188" i="1" s="1"/>
  <c r="G186" i="1"/>
  <c r="G187" i="1" s="1"/>
  <c r="F186" i="1"/>
  <c r="E186" i="1"/>
  <c r="G182" i="1"/>
  <c r="G188" i="1" s="1"/>
  <c r="F182" i="1"/>
  <c r="F188" i="1" s="1"/>
  <c r="E182" i="1"/>
  <c r="G149" i="1"/>
  <c r="F148" i="1"/>
  <c r="E148" i="1"/>
  <c r="G147" i="1"/>
  <c r="F147" i="1"/>
  <c r="F149" i="1" s="1"/>
  <c r="E147" i="1"/>
  <c r="G142" i="1"/>
  <c r="F142" i="1"/>
  <c r="E142" i="1"/>
  <c r="G141" i="1"/>
  <c r="F141" i="1"/>
  <c r="E141" i="1"/>
  <c r="G139" i="1"/>
  <c r="F139" i="1"/>
  <c r="E139" i="1"/>
  <c r="G136" i="1"/>
  <c r="F136" i="1"/>
  <c r="E136" i="1"/>
  <c r="E143" i="1" s="1"/>
  <c r="G135" i="1"/>
  <c r="G143" i="1" s="1"/>
  <c r="G153" i="1" s="1"/>
  <c r="G154" i="1" s="1"/>
  <c r="F135" i="1"/>
  <c r="F143" i="1" s="1"/>
  <c r="E135" i="1"/>
  <c r="G133" i="1"/>
  <c r="F133" i="1"/>
  <c r="F153" i="1" s="1"/>
  <c r="F154" i="1" s="1"/>
  <c r="E133" i="1"/>
  <c r="G126" i="1"/>
  <c r="F126" i="1"/>
  <c r="E126" i="1"/>
  <c r="G120" i="1"/>
  <c r="F120" i="1"/>
  <c r="E120" i="1"/>
  <c r="G115" i="1"/>
  <c r="G113" i="1" s="1"/>
  <c r="F115" i="1"/>
  <c r="E115" i="1"/>
  <c r="E113" i="1" s="1"/>
  <c r="F113" i="1"/>
  <c r="G112" i="1"/>
  <c r="F112" i="1"/>
  <c r="E112" i="1"/>
  <c r="G110" i="1"/>
  <c r="F110" i="1"/>
  <c r="E110" i="1"/>
  <c r="G108" i="1"/>
  <c r="G106" i="1" s="1"/>
  <c r="G101" i="1" s="1"/>
  <c r="F108" i="1"/>
  <c r="F106" i="1" s="1"/>
  <c r="F101" i="1" s="1"/>
  <c r="E108" i="1"/>
  <c r="E106" i="1" s="1"/>
  <c r="G105" i="1"/>
  <c r="F105" i="1"/>
  <c r="E105" i="1"/>
  <c r="G103" i="1"/>
  <c r="F103" i="1"/>
  <c r="E103" i="1"/>
  <c r="E101" i="1"/>
  <c r="G99" i="1"/>
  <c r="G396" i="1" s="1"/>
  <c r="G399" i="1" s="1"/>
  <c r="F99" i="1"/>
  <c r="F396" i="1" s="1"/>
  <c r="E99" i="1"/>
  <c r="E396" i="1" s="1"/>
  <c r="G94" i="1"/>
  <c r="G97" i="1" s="1"/>
  <c r="G95" i="1" s="1"/>
  <c r="F94" i="1"/>
  <c r="F88" i="1" s="1"/>
  <c r="E93" i="1"/>
  <c r="E92" i="1"/>
  <c r="G90" i="1"/>
  <c r="F90" i="1"/>
  <c r="E90" i="1"/>
  <c r="G89" i="1"/>
  <c r="F89" i="1"/>
  <c r="E89" i="1"/>
  <c r="G85" i="1"/>
  <c r="F85" i="1"/>
  <c r="E85" i="1"/>
  <c r="G80" i="1"/>
  <c r="F80" i="1"/>
  <c r="E80" i="1"/>
  <c r="G79" i="1"/>
  <c r="F79" i="1"/>
  <c r="E79" i="1"/>
  <c r="G78" i="1"/>
  <c r="F78" i="1"/>
  <c r="E78" i="1"/>
  <c r="G64" i="1"/>
  <c r="E64" i="1"/>
  <c r="G62" i="1"/>
  <c r="G37" i="1" s="1"/>
  <c r="F62" i="1"/>
  <c r="E62" i="1"/>
  <c r="E37" i="1" s="1"/>
  <c r="G61" i="1"/>
  <c r="F61" i="1"/>
  <c r="F36" i="1" s="1"/>
  <c r="F35" i="1" s="1"/>
  <c r="F40" i="1" s="1"/>
  <c r="E61" i="1"/>
  <c r="E36" i="1" s="1"/>
  <c r="E35" i="1" s="1"/>
  <c r="G60" i="1"/>
  <c r="F60" i="1"/>
  <c r="E60" i="1"/>
  <c r="G59" i="1"/>
  <c r="F59" i="1"/>
  <c r="E59" i="1"/>
  <c r="E31" i="1" s="1"/>
  <c r="G56" i="1"/>
  <c r="G33" i="1" s="1"/>
  <c r="F56" i="1"/>
  <c r="E56" i="1"/>
  <c r="G55" i="1"/>
  <c r="F55" i="1"/>
  <c r="E55" i="1"/>
  <c r="G54" i="1"/>
  <c r="G51" i="1" s="1"/>
  <c r="F54" i="1"/>
  <c r="F30" i="1" s="1"/>
  <c r="E54" i="1"/>
  <c r="E51" i="1" s="1"/>
  <c r="G53" i="1"/>
  <c r="F53" i="1"/>
  <c r="G52" i="1"/>
  <c r="F52" i="1"/>
  <c r="E52" i="1"/>
  <c r="G47" i="1"/>
  <c r="F47" i="1"/>
  <c r="E47" i="1"/>
  <c r="G46" i="1"/>
  <c r="G30" i="1" s="1"/>
  <c r="G207" i="1" s="1"/>
  <c r="F46" i="1"/>
  <c r="G45" i="1"/>
  <c r="F45" i="1"/>
  <c r="E45" i="1"/>
  <c r="G44" i="1"/>
  <c r="F44" i="1"/>
  <c r="E44" i="1"/>
  <c r="E28" i="1" s="1"/>
  <c r="F43" i="1"/>
  <c r="E43" i="1"/>
  <c r="F37" i="1"/>
  <c r="G36" i="1"/>
  <c r="G35" i="1"/>
  <c r="G34" i="1"/>
  <c r="F34" i="1"/>
  <c r="E34" i="1"/>
  <c r="F33" i="1"/>
  <c r="F32" i="1" s="1"/>
  <c r="F64" i="1" s="1"/>
  <c r="E33" i="1"/>
  <c r="E32" i="1" s="1"/>
  <c r="G32" i="1"/>
  <c r="G31" i="1"/>
  <c r="F31" i="1"/>
  <c r="G29" i="1"/>
  <c r="F29" i="1"/>
  <c r="E29" i="1"/>
  <c r="G28" i="1"/>
  <c r="G27" i="1" s="1"/>
  <c r="F28" i="1"/>
  <c r="F27" i="1" s="1"/>
  <c r="G24" i="1"/>
  <c r="F24" i="1"/>
  <c r="E24" i="1"/>
  <c r="G23" i="1"/>
  <c r="F23" i="1"/>
  <c r="E23" i="1"/>
  <c r="G22" i="1"/>
  <c r="G21" i="1" s="1"/>
  <c r="F22" i="1"/>
  <c r="F21" i="1" s="1"/>
  <c r="E22" i="1"/>
  <c r="E21" i="1" s="1"/>
  <c r="G17" i="1"/>
  <c r="F17" i="1"/>
  <c r="E17" i="1"/>
  <c r="G13" i="1"/>
  <c r="F13" i="1"/>
  <c r="E13" i="1"/>
  <c r="G8" i="1"/>
  <c r="F8" i="1"/>
  <c r="E8" i="1"/>
  <c r="G342" i="3" l="1"/>
  <c r="G343" i="3" s="1"/>
  <c r="G336" i="3"/>
  <c r="G421" i="2"/>
  <c r="G40" i="3"/>
  <c r="E27" i="1"/>
  <c r="F121" i="1"/>
  <c r="G378" i="1"/>
  <c r="G377" i="1"/>
  <c r="F416" i="2"/>
  <c r="F421" i="2" s="1"/>
  <c r="G382" i="2"/>
  <c r="F120" i="2"/>
  <c r="F93" i="2"/>
  <c r="F22" i="3"/>
  <c r="F21" i="3" s="1"/>
  <c r="F8" i="3"/>
  <c r="J10" i="3" s="1"/>
  <c r="E191" i="1"/>
  <c r="E119" i="1"/>
  <c r="G338" i="2"/>
  <c r="E153" i="1"/>
  <c r="E154" i="1" s="1"/>
  <c r="F41" i="1"/>
  <c r="F191" i="1"/>
  <c r="E152" i="2"/>
  <c r="E153" i="2" s="1"/>
  <c r="F343" i="1"/>
  <c r="F346" i="1"/>
  <c r="G341" i="1"/>
  <c r="G342" i="1" s="1"/>
  <c r="E241" i="2"/>
  <c r="E195" i="2"/>
  <c r="F279" i="1"/>
  <c r="F277" i="1"/>
  <c r="G40" i="1"/>
  <c r="G41" i="1" s="1"/>
  <c r="F21" i="2"/>
  <c r="F41" i="2" s="1"/>
  <c r="G335" i="2"/>
  <c r="E292" i="4"/>
  <c r="E293" i="4"/>
  <c r="C409" i="1"/>
  <c r="E415" i="1"/>
  <c r="E94" i="1"/>
  <c r="E97" i="1" s="1"/>
  <c r="E95" i="1" s="1"/>
  <c r="E88" i="1"/>
  <c r="C52" i="2"/>
  <c r="E51" i="2"/>
  <c r="C51" i="2" s="1"/>
  <c r="F338" i="2"/>
  <c r="F335" i="2" s="1"/>
  <c r="F86" i="2"/>
  <c r="E277" i="1"/>
  <c r="E279" i="1"/>
  <c r="E28" i="2"/>
  <c r="F335" i="3"/>
  <c r="G33" i="2"/>
  <c r="G32" i="2" s="1"/>
  <c r="G52" i="2"/>
  <c r="G119" i="1"/>
  <c r="F40" i="4"/>
  <c r="F41" i="4" s="1"/>
  <c r="E30" i="1"/>
  <c r="G88" i="1"/>
  <c r="F242" i="2"/>
  <c r="E210" i="2" s="1"/>
  <c r="E242" i="2" s="1"/>
  <c r="G196" i="3"/>
  <c r="G118" i="4"/>
  <c r="F163" i="3"/>
  <c r="G282" i="3"/>
  <c r="F51" i="1"/>
  <c r="F63" i="1" s="1"/>
  <c r="G279" i="1"/>
  <c r="F329" i="2"/>
  <c r="E285" i="2" s="1"/>
  <c r="E329" i="2" s="1"/>
  <c r="G250" i="3"/>
  <c r="F331" i="4"/>
  <c r="F358" i="4"/>
  <c r="F363" i="4" s="1"/>
  <c r="E407" i="1"/>
  <c r="C410" i="1"/>
  <c r="G384" i="2"/>
  <c r="G387" i="2" s="1"/>
  <c r="E74" i="3"/>
  <c r="E252" i="3" s="1"/>
  <c r="E255" i="3" s="1"/>
  <c r="F298" i="4"/>
  <c r="F296" i="4" s="1"/>
  <c r="F302" i="4" s="1"/>
  <c r="F285" i="4"/>
  <c r="F246" i="1"/>
  <c r="F196" i="1"/>
  <c r="C59" i="2"/>
  <c r="F282" i="3"/>
  <c r="K55" i="4"/>
  <c r="G43" i="1"/>
  <c r="G63" i="1" s="1"/>
  <c r="F250" i="3"/>
  <c r="L43" i="4"/>
  <c r="F97" i="1"/>
  <c r="F95" i="1" s="1"/>
  <c r="F119" i="1" s="1"/>
  <c r="G205" i="1"/>
  <c r="F369" i="1"/>
  <c r="G29" i="2"/>
  <c r="G274" i="2" s="1"/>
  <c r="G43" i="2"/>
  <c r="F206" i="2"/>
  <c r="F118" i="3"/>
  <c r="F128" i="3" s="1"/>
  <c r="F129" i="3" s="1"/>
  <c r="E44" i="4"/>
  <c r="E43" i="4" s="1"/>
  <c r="K43" i="4" s="1"/>
  <c r="G187" i="4"/>
  <c r="G331" i="4"/>
  <c r="G358" i="4"/>
  <c r="G343" i="1"/>
  <c r="E379" i="2"/>
  <c r="E382" i="2" s="1"/>
  <c r="F196" i="3"/>
  <c r="F39" i="3"/>
  <c r="F204" i="2"/>
  <c r="G128" i="3"/>
  <c r="G129" i="3" s="1"/>
  <c r="L55" i="4"/>
  <c r="E399" i="1"/>
  <c r="F394" i="1"/>
  <c r="G22" i="2"/>
  <c r="G21" i="2" s="1"/>
  <c r="E30" i="2"/>
  <c r="F142" i="2"/>
  <c r="F152" i="2" s="1"/>
  <c r="F153" i="2" s="1"/>
  <c r="F186" i="2"/>
  <c r="F187" i="2" s="1"/>
  <c r="F381" i="2"/>
  <c r="F382" i="2" s="1"/>
  <c r="F224" i="3"/>
  <c r="J9" i="4"/>
  <c r="F342" i="2"/>
  <c r="E86" i="2"/>
  <c r="E118" i="2" s="1"/>
  <c r="G204" i="2"/>
  <c r="G92" i="2"/>
  <c r="G95" i="2" s="1"/>
  <c r="G93" i="2" s="1"/>
  <c r="E187" i="2"/>
  <c r="E352" i="2"/>
  <c r="E341" i="2" s="1"/>
  <c r="E342" i="2" s="1"/>
  <c r="G40" i="4"/>
  <c r="G41" i="4" s="1"/>
  <c r="G55" i="2"/>
  <c r="G142" i="2"/>
  <c r="G152" i="2" s="1"/>
  <c r="G153" i="2" s="1"/>
  <c r="G258" i="2"/>
  <c r="K10" i="3"/>
  <c r="K9" i="3"/>
  <c r="G70" i="3"/>
  <c r="G94" i="3" s="1"/>
  <c r="G224" i="3"/>
  <c r="E247" i="3"/>
  <c r="E250" i="3" s="1"/>
  <c r="K10" i="4"/>
  <c r="L59" i="4"/>
  <c r="G363" i="4"/>
  <c r="F166" i="3"/>
  <c r="M47" i="4"/>
  <c r="G293" i="4"/>
  <c r="G292" i="4"/>
  <c r="E149" i="1"/>
  <c r="F515" i="1"/>
  <c r="E120" i="2"/>
  <c r="E186" i="2"/>
  <c r="E22" i="3"/>
  <c r="E21" i="3" s="1"/>
  <c r="E40" i="3" s="1"/>
  <c r="M59" i="4"/>
  <c r="F95" i="4"/>
  <c r="F93" i="4" s="1"/>
  <c r="F118" i="4" s="1"/>
  <c r="G186" i="2"/>
  <c r="G187" i="2" s="1"/>
  <c r="E295" i="4" l="1"/>
  <c r="E302" i="4" s="1"/>
  <c r="E314" i="4" s="1"/>
  <c r="F314" i="4"/>
  <c r="F377" i="1"/>
  <c r="F378" i="1"/>
  <c r="G28" i="2"/>
  <c r="G27" i="2" s="1"/>
  <c r="G40" i="2" s="1"/>
  <c r="G41" i="2" s="1"/>
  <c r="G51" i="2"/>
  <c r="E63" i="1"/>
  <c r="E40" i="1"/>
  <c r="E41" i="1" s="1"/>
  <c r="G343" i="2"/>
  <c r="K47" i="4"/>
  <c r="F232" i="3"/>
  <c r="F231" i="3"/>
  <c r="E121" i="1"/>
  <c r="E122" i="1"/>
  <c r="E261" i="2"/>
  <c r="E272" i="2" s="1"/>
  <c r="F375" i="1"/>
  <c r="F376" i="1" s="1"/>
  <c r="F342" i="3"/>
  <c r="F343" i="3" s="1"/>
  <c r="F336" i="3"/>
  <c r="G232" i="3"/>
  <c r="G231" i="3"/>
  <c r="F122" i="1"/>
  <c r="F40" i="3"/>
  <c r="E27" i="2"/>
  <c r="E40" i="2" s="1"/>
  <c r="E41" i="2" s="1"/>
  <c r="F118" i="2"/>
  <c r="E343" i="2"/>
  <c r="F293" i="4"/>
  <c r="F292" i="4"/>
  <c r="J9" i="3"/>
  <c r="E203" i="2"/>
  <c r="C241" i="2"/>
  <c r="E70" i="3"/>
  <c r="E94" i="3" s="1"/>
  <c r="G342" i="2"/>
  <c r="G122" i="1"/>
  <c r="G121" i="1"/>
  <c r="F343" i="2"/>
  <c r="F353" i="1"/>
  <c r="F334" i="1"/>
  <c r="E210" i="1"/>
  <c r="F204" i="1"/>
  <c r="G86" i="2"/>
  <c r="G118" i="2" s="1"/>
  <c r="E343" i="1"/>
  <c r="F205" i="1" l="1"/>
  <c r="F207" i="1"/>
  <c r="F263" i="1"/>
  <c r="E206" i="2"/>
  <c r="E258" i="2"/>
  <c r="E204" i="2"/>
  <c r="G120" i="2"/>
  <c r="E246" i="1"/>
  <c r="E204" i="1" s="1"/>
  <c r="E196" i="1"/>
  <c r="E346" i="1"/>
  <c r="E353" i="1" s="1"/>
  <c r="E341" i="1" s="1"/>
  <c r="F341" i="1"/>
  <c r="E263" i="1" l="1"/>
  <c r="E205" i="1"/>
  <c r="E207" i="1"/>
  <c r="E334" i="1"/>
  <c r="F342" i="1"/>
  <c r="E3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tc={12012211-53BE-41CB-911A-63B68F671951}</author>
    <author>tc={744FCD5E-C7BD-4EA3-B936-8C0385AFD367}</author>
    <author>tc={57CF1716-B31B-4ABF-9426-C598BA453DA9}</author>
    <author>tc={071F4DA8-A5D2-48DC-A564-1532B93257D6}</author>
    <author>tc={D3505EF0-B003-4DE4-A05C-38F69ABB7462}</author>
    <author>tc={61166EE5-C425-49EB-AB7B-E03CF2273694}</author>
    <author>tc={17C145F9-C5D6-44F1-B9E7-7215188BE82C}</author>
    <author>tc={D6BDB319-A863-425C-B0F7-CEA48DBB801C}</author>
  </authors>
  <commentList>
    <comment ref="F235" authorId="0" shapeId="0" xr:uid="{12012211-53BE-41CB-911A-63B68F671951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Inconsistency with 61 of page 319</t>
      </text>
    </comment>
    <comment ref="E247" authorId="1" shapeId="0" xr:uid="{744FCD5E-C7BD-4EA3-B936-8C0385AFD367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than CSM maturity overview 1,027.
Reply:
    The 1032 consists of
- insurance contracts assets of 5 (pg. 319)
- insurance contracts liabilities of 1.027 (pg. 319)</t>
      </text>
    </comment>
    <comment ref="F368" authorId="2" shapeId="0" xr:uid="{57CF1716-B31B-4ABF-9426-C598BA453DA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@Conradie, Juan-Rico why the -4/+4?</t>
      </text>
    </comment>
    <comment ref="E408" authorId="3" shapeId="0" xr:uid="{071F4DA8-A5D2-48DC-A564-1532B93257D6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International premiums for life not disclosed openly compared to other years</t>
      </text>
    </comment>
    <comment ref="G501" authorId="4" shapeId="0" xr:uid="{D3505EF0-B003-4DE4-A05C-38F69ABB7462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Disclosures have changed in 2024 for this category</t>
      </text>
    </comment>
    <comment ref="E509" authorId="5" shapeId="0" xr:uid="{61166EE5-C425-49EB-AB7B-E03CF2273694}">
      <text>
        <t>[Threaded comment]
Your version of Excel allows you to read this threaded comment; however, any edits to it will get removed if the file is opened in a newer version of Excel. Learn more: https://go.microsoft.com/fwlink/?linkid=870924
Comment:
    Rounding diff of 1. In financial statements this is corrected already in sub-total (i.e. sub-total is shown as 75.400), whereas excel calculates based on actuals. Agreed. </t>
      </text>
    </comment>
    <comment ref="F509" authorId="6" shapeId="0" xr:uid="{17C145F9-C5D6-44F1-B9E7-7215188BE82C}">
      <text>
        <t>[Threaded comment]
Your version of Excel allows you to read this threaded comment; however, any edits to it will get removed if the file is opened in a newer version of Excel. Learn more: https://go.microsoft.com/fwlink/?linkid=870924
Comment:
    Rounding difference of 2. In financial statements this is corrected already in sub-total (i.e. sub-total is shown as 70.702), whereas excel calculates based on actuals. Agreed. </t>
      </text>
    </comment>
    <comment ref="E511" authorId="7" shapeId="0" xr:uid="{D6BDB319-A863-425C-B0F7-CEA48DBB801C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audit: Are we missing something? Why not matching with row 483?
Reply:
    This pertains to row 481 investment property (i.e. 75.400 - 717 = 74.683). 
The disclosure note on page 299 also does not include investment property. 
The Investment Property ad EUR 717 should be added to row 509 FVTPL.
Now reconciles.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tc={9B5A2D35-E36B-4721-B7F6-225B36CA1F41}</author>
    <author>tc={B8D38981-691D-441A-810D-08700E975FA6}</author>
    <author>tc={F59777D3-2737-4E59-8473-669D153C84B6}</author>
    <author>tc={1DFB7B79-9D23-4DCB-8E90-08F3143B3CB2}</author>
    <author>tc={84CBF99D-FB91-4700-99B0-8B214DCB10E4}</author>
  </authors>
  <commentList>
    <comment ref="E13" authorId="0" shapeId="0" xr:uid="{9B5A2D35-E36B-4721-B7F6-225B36CA1F41}">
      <text>
        <t>[Threaded comment]
Your version of Excel allows you to read this threaded comment; however, any edits to it will get removed if the file is opened in a newer version of Excel. Learn more: https://go.microsoft.com/fwlink/?linkid=870924
Comment:
    Rounding error of 1€</t>
      </text>
    </comment>
    <comment ref="E38" authorId="1" shapeId="0" xr:uid="{B8D38981-691D-441A-810D-08700E975FA6}">
      <text>
        <t>[Threaded comment]
Your version of Excel allows you to read this threaded comment; however, any edits to it will get removed if the file is opened in a newer version of Excel. Learn more: https://go.microsoft.com/fwlink/?linkid=870924
Comment:
    "Pre-recognition cash flows amounting € 11 million (2023: € 11 million) mainly concern acquisition cash flows
relating to insurance contracts, specifically Werknemerspensioen, not yet recognised."</t>
      </text>
    </comment>
    <comment ref="E44" authorId="2" shapeId="0" xr:uid="{F59777D3-2737-4E59-8473-669D153C84B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Removing FCF from LIC othewise it is double counted</t>
      </text>
    </comment>
    <comment ref="E284" authorId="3" shapeId="0" xr:uid="{1DFB7B79-9D23-4DCB-8E90-08F3143B3CB2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Opening balances are all short of 1€ when compared to closing balances of the previous year with no explanation for the differences</t>
      </text>
    </comment>
    <comment ref="G395" authorId="4" shapeId="0" xr:uid="{84CBF99D-FB91-4700-99B0-8B214DCB10E4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DC inflow to be comparable with the other years!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tc={A9834B18-B84C-4CD2-9EE8-387CB6989B85}</author>
    <author>tc={E8F1F34A-148D-47A4-9D09-452776D1D8BD}</author>
    <author>tc={2209CB51-2B27-422C-B756-93AD627962E7}</author>
    <author>tc={BA1E2A6B-8B81-4CDD-9CE8-05B79668909B}</author>
    <author>tc={820ACC84-EE27-401D-9D27-602CC30F7503}</author>
    <author>tc={53782D7C-D8BA-460D-9EC4-833617DAEED9}</author>
    <author>tc={2C90C7AA-ED14-4C22-925E-80A67A17734F}</author>
    <author>tc={39DD410C-3A78-416E-A754-4144E371AE6D}</author>
    <author>tc={EACEB95B-6D60-4570-9CB1-06E7049C4FE5}</author>
    <author>tc={D5279A2D-A247-4063-9FDA-1B7164A44373}</author>
    <author>tc={94E3AC87-54DD-43E1-95B6-C3ABE6016756}</author>
    <author>tc={DBE951F5-ABFB-40B6-BBFC-A5BBC0098D80}</author>
    <author>tc={771EFE81-5DF5-4A39-8D91-E9557125B521}</author>
    <author>tc={51837E41-FA3F-4C75-870C-84B5F59DD642}</author>
    <author>tc={E35E8785-46F9-4CF6-B51E-3D6B34BF0919}</author>
    <author>tc={9AB2ACC1-9698-4381-AAC0-96D826B2AD4C}</author>
    <author>tc={6B3AE3B8-8339-41BE-A718-DF9D2B5D0FC5}</author>
    <author>tc={6AB77687-6647-4345-8C7B-E9D864E94DA5}</author>
  </authors>
  <commentList>
    <comment ref="E40" authorId="0" shapeId="0" xr:uid="{A9834B18-B84C-4CD2-9EE8-387CB6989B85}">
      <text>
        <t>[Threaded comment]
Your version of Excel allows you to read this threaded comment; however, any edits to it will get removed if the file is opened in a newer version of Excel. Learn more: https://go.microsoft.com/fwlink/?linkid=870924
Comment:
    Rounding</t>
      </text>
    </comment>
    <comment ref="E74" authorId="1" shapeId="0" xr:uid="{E8F1F34A-148D-47A4-9D09-452776D1D8BD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recalc exp adj: 1754 - 1721</t>
      </text>
    </comment>
    <comment ref="E95" authorId="2" shapeId="0" xr:uid="{2209CB51-2B27-422C-B756-93AD627962E7}">
      <text>
        <t>[Threaded comment]
Your version of Excel allows you to read this threaded comment; however, any edits to it will get removed if the file is opened in a newer version of Excel. Learn more: https://go.microsoft.com/fwlink/?linkid=870924
Comment:
    Rounding of 1</t>
      </text>
    </comment>
    <comment ref="E109" authorId="3" shapeId="0" xr:uid="{BA1E2A6B-8B81-4CDD-9CE8-05B79668909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 - 2024 splits are slightly different</t>
      </text>
    </comment>
    <comment ref="F129" authorId="4" shapeId="0" xr:uid="{820ACC84-EE27-401D-9D27-602CC30F7503}">
      <text>
        <t>[Threaded comment]
Your version of Excel allows you to read this threaded comment; however, any edits to it will get removed if the file is opened in a newer version of Excel. Learn more: https://go.microsoft.com/fwlink/?linkid=870924
Comment:
    Off by 1</t>
      </text>
    </comment>
    <comment ref="F166" authorId="5" shapeId="0" xr:uid="{53782D7C-D8BA-460D-9EC4-833617DAEED9}">
      <text>
        <t>[Threaded comment]
Your version of Excel allows you to read this threaded comment; however, any edits to it will get removed if the file is opened in a newer version of Excel. Learn more: https://go.microsoft.com/fwlink/?linkid=870924
Comment:
    Casting error / rounding of 1</t>
      </text>
    </comment>
    <comment ref="E178" authorId="6" shapeId="0" xr:uid="{2C90C7AA-ED14-4C22-925E-80A67A17734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 casting error</t>
      </text>
    </comment>
    <comment ref="F300" authorId="7" shapeId="0" xr:uid="{39DD410C-3A78-416E-A754-4144E371AE6D}">
      <text>
        <t>[Threaded comment]
Your version of Excel allows you to read this threaded comment; however, any edits to it will get removed if the file is opened in a newer version of Excel. Learn more: https://go.microsoft.com/fwlink/?linkid=870924
Comment:
    Sum of 1a.1 - 1a.4 = 13,985 (pg 115 of 2024 FS)</t>
      </text>
    </comment>
    <comment ref="E301" authorId="8" shapeId="0" xr:uid="{EACEB95B-6D60-4570-9CB1-06E7049C4F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consistent with PY, 16,832 (pg 115) includes all bonds, so removed sovereign bonds from the total </t>
      </text>
    </comment>
    <comment ref="E305" authorId="9" shapeId="0" xr:uid="{D5279A2D-A247-4063-9FDA-1B7164A44373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consistent with PY, included mortgages and private loans in here</t>
      </text>
    </comment>
    <comment ref="F305" authorId="10" shapeId="0" xr:uid="{94E3AC87-54DD-43E1-95B6-C3ABE601675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includes mortgages and private loans</t>
      </text>
    </comment>
    <comment ref="E307" authorId="11" shapeId="0" xr:uid="{DBE951F5-ABFB-40B6-BBFC-A5BBC0098D80}">
      <text>
        <t>[Threaded comment]
Your version of Excel allows you to read this threaded comment; however, any edits to it will get removed if the file is opened in a newer version of Excel. Learn more: https://go.microsoft.com/fwlink/?linkid=870924
Comment:
    Casting error of 1 in FS</t>
      </text>
    </comment>
    <comment ref="D310" authorId="12" shapeId="0" xr:uid="{771EFE81-5DF5-4A39-8D91-E9557125B521}">
      <text>
        <t>[Threaded comment]
Your version of Excel allows you to read this threaded comment; however, any edits to it will get removed if the file is opened in a newer version of Excel. Learn more: https://go.microsoft.com/fwlink/?linkid=870924
Comment:
    I have added this line - not sure why this was left out last year too? Should we include these numbers are  we excluding as the more a receivable?
Reply:
    This pertains to cash collateral. All other insurers present the cash collateral in the other assets/liabilities, thus to be consistent correct that we do not include it here</t>
      </text>
    </comment>
    <comment ref="E333" authorId="13" shapeId="0" xr:uid="{51837E41-FA3F-4C75-870C-84B5F59DD642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such that only the Derivative Asset is presented (previously the net balance was included here).
Same holds for columns F/G</t>
      </text>
    </comment>
    <comment ref="E336" authorId="14" shapeId="0" xr:uid="{E35E8785-46F9-4CF6-B51E-3D6B34BF0919}">
      <text>
        <t>[Threaded comment]
Your version of Excel allows you to read this threaded comment; however, any edits to it will get removed if the file is opened in a newer version of Excel. Learn more: https://go.microsoft.com/fwlink/?linkid=870924
Comment:
    Rounding of 2</t>
      </text>
    </comment>
    <comment ref="E339" authorId="15" shapeId="0" xr:uid="{9AB2ACC1-9698-4381-AAC0-96D826B2AD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 audit: Is this correct? Why doesnt it match with line 335?
Reply:
    The breakdown above is per disclosure note 4 (investment property) and note 5 (investments). 
We do 2 things:
1) we add investment property to get to total investments: +830 (row 329). This is also FVTPL
2) we subtract the cash collateral /-/ 2608 (row 310 is kept empty). This is also FVTPL.
Net difference is EUR 1.780 (minus rounding diff of 2). 
</t>
      </text>
    </comment>
    <comment ref="F339" authorId="16" shapeId="0" xr:uid="{6B3AE3B8-8339-41BE-A718-DF9D2B5D0FC5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audit: Is this correct? Why doesnt it match with line 335?</t>
      </text>
    </comment>
    <comment ref="G339" authorId="17" shapeId="0" xr:uid="{6AB77687-6647-4345-8C7B-E9D864E94DA5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audit: Where can we get the total value? It seems we can only find the FVTPL of the general account inv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tc={2536C22D-D558-47A1-A92D-606D09BC956F}</author>
    <author>tc={746DBF34-5E15-440D-A5F2-239422B31816}</author>
    <author>tc={D3D78F4E-1FFA-4C0D-B1FC-5B2857E753FA}</author>
    <author>tc={C666EDF7-719B-464D-8B5F-79E95A4859B2}</author>
    <author>tc={7F078F3E-C693-4402-B111-AEF5A0615734}</author>
  </authors>
  <commentList>
    <comment ref="D43" authorId="0" shapeId="0" xr:uid="{2536C22D-D558-47A1-A92D-606D09BC95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available in the FS. Can get the split of total PVFCF, but then not split between LRC and LIC</t>
      </text>
    </comment>
    <comment ref="E135" authorId="1" shapeId="0" xr:uid="{746DBF34-5E15-440D-A5F2-239422B3181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FV movements excluding Investment prop. Investment prop included in other below</t>
      </text>
    </comment>
    <comment ref="D208" authorId="2" shapeId="0" xr:uid="{D3D78F4E-1FFA-4C0D-B1FC-5B2857E753FA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audit: we couldnt find this split</t>
      </text>
    </comment>
    <comment ref="D294" authorId="3" shapeId="0" xr:uid="{C666EDF7-719B-464D-8B5F-79E95A4859B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@Watermeyer, Caroline can you confirm this part with JR? I see that last year we reported on these values so there must be a way to retrieve them</t>
      </text>
    </comment>
    <comment ref="D304" authorId="4" shapeId="0" xr:uid="{7F078F3E-C693-4402-B111-AEF5A061573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@Watermeyer, Caroline can you confirm this part with JR? I see that last year we reported on these values so there must be a way to retrieve them</t>
      </text>
    </comment>
  </commentList>
</comments>
</file>

<file path=xl/sharedStrings.xml><?xml version="1.0" encoding="utf-8"?>
<sst xmlns="http://schemas.openxmlformats.org/spreadsheetml/2006/main" count="3362" uniqueCount="910">
  <si>
    <t>Mapping Financial Statements - Achmea Dataset</t>
  </si>
  <si>
    <t>SOTI  FY2025</t>
  </si>
  <si>
    <t>Insurer</t>
  </si>
  <si>
    <t>ACHMEA</t>
  </si>
  <si>
    <t>Comments 2024</t>
  </si>
  <si>
    <t>Comments 2023</t>
  </si>
  <si>
    <t>Year</t>
  </si>
  <si>
    <t>(1) OVERVIEW OF PORTFOLIO</t>
  </si>
  <si>
    <t>(i) LIFE PORTFOLIO [DIRECT &amp; ASSUMED]:</t>
  </si>
  <si>
    <t>General Measurement Model</t>
  </si>
  <si>
    <t>Note 7 [Pg.305]</t>
  </si>
  <si>
    <t>Note 6 [Pg. 181]</t>
  </si>
  <si>
    <t>Variable Fee Approach</t>
  </si>
  <si>
    <t>Premium Allocation Approach</t>
  </si>
  <si>
    <t>(ii) NON-LIFE PORTFOLIO [DIRECT &amp; ASSUMED]:</t>
  </si>
  <si>
    <t>(iii) HEALTH PORTFOLIO [DIRECT &amp; ASSUMED]:</t>
  </si>
  <si>
    <t>(iv) TOTAL PORTFOLIO [DIRECT &amp; ASSUMED]:</t>
  </si>
  <si>
    <t>Subtotal</t>
  </si>
  <si>
    <t>(iv.1) TOTAL PORTFOLIO [LIABILITY DROPDOWN]</t>
  </si>
  <si>
    <t>Liability for Remaining Coverage | GMM &amp; VFA</t>
  </si>
  <si>
    <t>Present value of cash flows</t>
  </si>
  <si>
    <t>Formula driven</t>
  </si>
  <si>
    <t>Risk Adjustment</t>
  </si>
  <si>
    <t>CSM</t>
  </si>
  <si>
    <t>Liability for Remaining Coverage | PAA</t>
  </si>
  <si>
    <t>Liability for Incurred Claims | GMM &amp; VFA</t>
  </si>
  <si>
    <t>Liability for Incurred Claims | PAA</t>
  </si>
  <si>
    <t>Pre-recognition insurance acquisition cash flows</t>
  </si>
  <si>
    <t>Note 7 [Pg.305] Assets for insurance aquisition cashflows</t>
  </si>
  <si>
    <t>Note 6 [Pg. 181] -&gt; Why is this a postive, if it is a pre-recognition asset then expect this to be a negative within the liabilities</t>
  </si>
  <si>
    <t>Other</t>
  </si>
  <si>
    <t>Checks</t>
  </si>
  <si>
    <t>Casting difference of €5 for 2024 if CSM is taken from note 7 pg 305 instead</t>
  </si>
  <si>
    <t>Casting difference of €1 for 2022</t>
  </si>
  <si>
    <t>Life | GMM &amp; VFA</t>
  </si>
  <si>
    <t>Liability for Remaining Coverage</t>
  </si>
  <si>
    <t xml:space="preserve">Life -&gt; Note 7 [FCF Pg.319 - LIC PVFCF on Pg. 317] </t>
  </si>
  <si>
    <t xml:space="preserve">Life -&gt; Note 6 [Pg. 194 &amp; 195 - LIC PVFCF on Pg. 192 &amp; 193] </t>
  </si>
  <si>
    <t xml:space="preserve">Life -&gt; Note 7 [Pg. 319] </t>
  </si>
  <si>
    <t xml:space="preserve">Life -&gt; Note 6 [Pg. 194 &amp; 195] </t>
  </si>
  <si>
    <t>Life -&gt; Note 6 [Pg. 194 &amp; 195]</t>
  </si>
  <si>
    <t>Liability for Incurred Claims</t>
  </si>
  <si>
    <t xml:space="preserve">Life -&gt; Note 7 [Pg. 317 &amp; Pg. 319] </t>
  </si>
  <si>
    <t>Non-life | GMM</t>
  </si>
  <si>
    <t>Non-Life -&gt; Note 7 [Pg.308 - LIC PVFCF on Pg.. 310 ] &amp; Health -&gt; Note 7 [Pg. 305 - LIC PVFCF &amp; CSM Pg, 306]</t>
  </si>
  <si>
    <t>Non-Life -&gt; Note 6 [Pg.186 &amp; Pg. 187 - LIC PVFCF on Pg.184 &amp; 185] &amp; Health -&gt; Note 6 [Pg. 181 - LIC PVFCF on Pg. 189 &amp; 190 - CSM Pg, 182]</t>
  </si>
  <si>
    <t>Non-Life -&gt; Note 7 [Pg.310] -  Health - assume zero based on materiality</t>
  </si>
  <si>
    <t>Non-Life -&gt; Note 6 [Pg.186 &amp; 187] &amp; Life -&gt; Note 6 [Pg. 194 &amp; 195] &amp; Health - assume zero based on materiality</t>
  </si>
  <si>
    <t xml:space="preserve"> Note 7 [Pg. 306] Health + Non-life </t>
  </si>
  <si>
    <t xml:space="preserve"> Non-Life -&gt; Note 6 [Pg. 182] </t>
  </si>
  <si>
    <t xml:space="preserve"> Note 7.1 [308+310], Health Pg. 313</t>
  </si>
  <si>
    <t xml:space="preserve"> Note 6 [Pg. 185 + 190] </t>
  </si>
  <si>
    <t>Non-life | PAA</t>
  </si>
  <si>
    <t>Non-Life -&gt; Note 7 [Total LRC on Pg.308- LRC for GMM /VFA] &amp; Health -&gt; Note 7 [Pg. 313 - LRC for GMM/VFA] &amp; Life = 0</t>
  </si>
  <si>
    <t>Non-Life -&gt; Note 6 [Total LRC on Pg.184 - LRC for GMM /VFA] &amp; Health -&gt; Note 6 [Pg. 189 - LRC for GMM/VFA] &amp; Life = 0</t>
  </si>
  <si>
    <t>Non-Life -&gt; Note 7 [Pg. 313 ] &amp; Health -&gt; Note 7 [Pg. 308]</t>
  </si>
  <si>
    <t>Non-Life -&gt; Note 6 [Pg. 184 &amp; 185] &amp; Life = 0&amp; Health -&gt; Note 6 [Pg. 189 &amp; 190]</t>
  </si>
  <si>
    <t>Non-Life -&gt; Note 7 [Pg. 313 ]&amp; Health -&gt; Note 7 [Pg. 308]</t>
  </si>
  <si>
    <t>(v) LIFE PORTFOLIO [REINSURANCE CEDED]:</t>
  </si>
  <si>
    <t>Note 7 [Pg. 305]</t>
  </si>
  <si>
    <t>(vi) NON-LIFE PORTFOLIO [REINSURANCE CEDED]:</t>
  </si>
  <si>
    <t>(vii) HEALTH PORTFOLIO [REINSURANCE CEDED]:</t>
  </si>
  <si>
    <t>(viii) TOTAL PORTFOLIO [REINSURANCE CEDED]:</t>
  </si>
  <si>
    <t>(2) FINANCIAL PERFORMANCE</t>
  </si>
  <si>
    <t>(i) OVERVIEW OF THE RESULTS BEFORE TAX:</t>
  </si>
  <si>
    <t>a) Net insurance results</t>
  </si>
  <si>
    <t>Note 10 [Pg. 349+350]</t>
  </si>
  <si>
    <t>Taken from income statement</t>
  </si>
  <si>
    <t>1) CSM release</t>
  </si>
  <si>
    <t>Note 9 [Pg. 227 &amp; 228]</t>
  </si>
  <si>
    <t>2) RA release</t>
  </si>
  <si>
    <t>3) Loss component</t>
  </si>
  <si>
    <t>Losses on onerous contracts initially recognised in the period</t>
  </si>
  <si>
    <t>Note 7 [Pg. 308 +313 + 320]</t>
  </si>
  <si>
    <t>Note 6 [Pg. 186 &amp; 187 + 194 &amp; 195]</t>
  </si>
  <si>
    <t>Changes in adjustments not contributing to the contractual service margin</t>
  </si>
  <si>
    <t>Note 7 [Pg. 310 + 320] - Changes in estimates on onerous contracts</t>
  </si>
  <si>
    <t>Release of risk adjustment attributed to the loss component</t>
  </si>
  <si>
    <t>Expected claims and benefits attributed to the loss component</t>
  </si>
  <si>
    <t>Note 7 [Pg. 307 +313 + 317]</t>
  </si>
  <si>
    <t>Note 6 [Pg. 184 &amp; 185 + 189 &amp; 190 + 192 &amp; 193]</t>
  </si>
  <si>
    <t>Expected attributable insurance expenses attributed to the loss component</t>
  </si>
  <si>
    <t>Systematic allocation included in expected claims and benefits</t>
  </si>
  <si>
    <t>4) Expected versus actual claims and attributable expenses</t>
  </si>
  <si>
    <t>Expected claims and benefits - net of systematic allocation</t>
  </si>
  <si>
    <t>Note 10 [Pg. 349]</t>
  </si>
  <si>
    <t>Note 9 [Pg. 227 &amp; 228] -&gt; Includes expenses</t>
  </si>
  <si>
    <t>Expected expenses</t>
  </si>
  <si>
    <t>Included in the expected claims</t>
  </si>
  <si>
    <t xml:space="preserve">Incurred claims </t>
  </si>
  <si>
    <t>Pg. 308 + 313 +317</t>
  </si>
  <si>
    <t>NET OF SYSTEMATIC ALLOCATION --&gt; Note 6 [Pg. 184 &amp; 185 + 192 &amp; 193 + 189 &amp; 190] -&gt; Includes expenses</t>
  </si>
  <si>
    <t>Incurred expenses</t>
  </si>
  <si>
    <t>Included in the actual claims</t>
  </si>
  <si>
    <t>5) PAA results</t>
  </si>
  <si>
    <t>Insurance revenue</t>
  </si>
  <si>
    <t>Incurred claims</t>
  </si>
  <si>
    <t>Note 7.2 [313 + 308]</t>
  </si>
  <si>
    <t>Note 6 [Pg. 184 &amp; 185 + 189 &amp; 190] -&gt; Includes expenses</t>
  </si>
  <si>
    <t>Movement in prior period claims</t>
  </si>
  <si>
    <t>Note 7, Non life Pg. 308 +Health 313 (sum of PVFCF and RA for Adjustments to liabilities for incurred claims)</t>
  </si>
  <si>
    <t>Note 6 [Pg. 184 &amp; 185 + 189 &amp; 190]</t>
  </si>
  <si>
    <t>Loss component</t>
  </si>
  <si>
    <t>Changes in estimates regarding onerous contracts</t>
  </si>
  <si>
    <t>Health: Note 10 [Pg. 349] , Non-life: Difference between total losses - losses in GMM [Pg. 308-310], There are no PAA Life contracts=0</t>
  </si>
  <si>
    <t>Note 9 [Pg. 228]: Health: €482 on pg. 190 yet €74 on pg. 228. Non-life for 2023 amount to €9 and 2022 amount to €1. Non-life determined as balancing figure of LC roll</t>
  </si>
  <si>
    <t>Reversal of the loss component</t>
  </si>
  <si>
    <t>Other expenses</t>
  </si>
  <si>
    <t xml:space="preserve">Amortisation of acquisition cashflow </t>
  </si>
  <si>
    <t>Pg. 350</t>
  </si>
  <si>
    <r>
      <t xml:space="preserve">Note 9 [Pg. 228] --&gt; Life = error of €1 in 2023 &amp; Non-Life = error of </t>
    </r>
    <r>
      <rPr>
        <b/>
        <sz val="10"/>
        <color rgb="FFC00000"/>
        <rFont val="Calibri"/>
        <family val="2"/>
      </rPr>
      <t>€</t>
    </r>
    <r>
      <rPr>
        <b/>
        <i/>
        <sz val="10"/>
        <color rgb="FFC00000"/>
        <rFont val="Arial"/>
        <family val="2"/>
      </rPr>
      <t xml:space="preserve">3 in 2022 &amp; Health = error of €3 in 2022 </t>
    </r>
  </si>
  <si>
    <t>6) Other</t>
  </si>
  <si>
    <t xml:space="preserve">Premium experience adjustments </t>
  </si>
  <si>
    <t>Note 7 [Pg. 309, 313, 317]</t>
  </si>
  <si>
    <t>Note 6 [Pg. 184 &amp; 185 + 192 &amp; 193 + 189 &amp; 190]</t>
  </si>
  <si>
    <t>Acquisition cashflow</t>
  </si>
  <si>
    <r>
      <t xml:space="preserve">Note 9 [Pg. 228 &amp; 228] </t>
    </r>
    <r>
      <rPr>
        <b/>
        <i/>
        <sz val="10"/>
        <color rgb="FFC00000"/>
        <rFont val="Arial"/>
        <family val="2"/>
      </rPr>
      <t xml:space="preserve">--&gt; No IACF in the insurance revenue for Health and Non-Life therefore fully relate to PAA </t>
    </r>
  </si>
  <si>
    <t>To cover for casting differences</t>
  </si>
  <si>
    <t>Overall check</t>
  </si>
  <si>
    <t>Insurance service expenses</t>
  </si>
  <si>
    <t>b) Net reinsurance results</t>
  </si>
  <si>
    <t>Pg. 244</t>
  </si>
  <si>
    <t>c) Net investment results</t>
  </si>
  <si>
    <t>Pg. 244 + Pg. 313 + Pg. 364</t>
  </si>
  <si>
    <t>1) Investment income</t>
  </si>
  <si>
    <t>i) For account of policyholders:</t>
  </si>
  <si>
    <t>a) Interest</t>
  </si>
  <si>
    <t>b) Fair value movements</t>
  </si>
  <si>
    <t>c) Dividend income</t>
  </si>
  <si>
    <t>d) Other</t>
  </si>
  <si>
    <t>ii) General account assets:</t>
  </si>
  <si>
    <t>Pg. 354+351+353</t>
  </si>
  <si>
    <t xml:space="preserve">Note 10 [Pg. 229 &amp; 230]  + Note 11 [Pg. 232] </t>
  </si>
  <si>
    <t>Pg. 353+354</t>
  </si>
  <si>
    <t xml:space="preserve">Note 10 [Pg. 231] </t>
  </si>
  <si>
    <t>d) Impairments on investment</t>
  </si>
  <si>
    <t>Pg. 351</t>
  </si>
  <si>
    <t xml:space="preserve">Note 10 [Pg. 229 &amp; 230] </t>
  </si>
  <si>
    <t>e) Results on derivatives and hedging</t>
  </si>
  <si>
    <t>Pg. 353+354+ 373</t>
  </si>
  <si>
    <t>Note 10 [Pg. 231]  + Note 11 [Pg. 232]  + Note 22 [Pg. 250]</t>
  </si>
  <si>
    <t>f) Foreign exchange difference</t>
  </si>
  <si>
    <t>g) Rental income</t>
  </si>
  <si>
    <t xml:space="preserve">Note 10 [Pg. 231]  + Note 11 [Pg. 232] </t>
  </si>
  <si>
    <t>h) Other</t>
  </si>
  <si>
    <t>Pg. 351+354</t>
  </si>
  <si>
    <t>2) Finance results (Insurance &amp; Int expense)</t>
  </si>
  <si>
    <t>i) Results on investments for account of policyholders</t>
  </si>
  <si>
    <t>Pg.351</t>
  </si>
  <si>
    <t>Note 10 [Pg. 229 &amp; 230] - Changes in fair value of financial investments of insurance contracts where policyholders bear the investment risk</t>
  </si>
  <si>
    <t>ii) Results for own account (net of reinsurance)</t>
  </si>
  <si>
    <t>iii) Interest expense</t>
  </si>
  <si>
    <t>Pg. 373</t>
  </si>
  <si>
    <t>Note 22 [Pg. 250] + Adjusted to remove the finance expenses for derivatives and move to results on derivatives.</t>
  </si>
  <si>
    <t>3) Net investment contract results</t>
  </si>
  <si>
    <t>4) OVERVIEW OF DISCOUNT RATE/CURVE:</t>
  </si>
  <si>
    <t>a) Liquid curve / VFA &amp; GMM</t>
  </si>
  <si>
    <t>1 year</t>
  </si>
  <si>
    <t>Pg. 325</t>
  </si>
  <si>
    <t>Pg. 202 &amp; 203</t>
  </si>
  <si>
    <t>5 years</t>
  </si>
  <si>
    <t>10 years</t>
  </si>
  <si>
    <t>15 years</t>
  </si>
  <si>
    <t>20 years</t>
  </si>
  <si>
    <t>30 years</t>
  </si>
  <si>
    <t>40 years</t>
  </si>
  <si>
    <t>N/A</t>
  </si>
  <si>
    <t>50 years</t>
  </si>
  <si>
    <t>b) Iliquid curve / VFA &amp; GMM</t>
  </si>
  <si>
    <t>Pg. 326</t>
  </si>
  <si>
    <t>c) Supplementary information</t>
  </si>
  <si>
    <t>i) Last Liquid point (years)</t>
  </si>
  <si>
    <t>Pg. 202</t>
  </si>
  <si>
    <t>ii) Long Term Forward Rate</t>
  </si>
  <si>
    <t>d) Other results</t>
  </si>
  <si>
    <t>Taken from income statement &amp; add-back income from associates</t>
  </si>
  <si>
    <t>a) Fee and commission results</t>
  </si>
  <si>
    <t xml:space="preserve"> Note 22 Income from Service contracts &amp; Other Income [Pg. 372] </t>
  </si>
  <si>
    <t xml:space="preserve"> Note 21 [ Pg. 249] </t>
  </si>
  <si>
    <t>b) Non-attributable operating expenses</t>
  </si>
  <si>
    <t xml:space="preserve"> P&amp;L [Pg. 244] </t>
  </si>
  <si>
    <t xml:space="preserve"> P&amp;L [Pg. 121] </t>
  </si>
  <si>
    <t>c) Investment in associates and joint ventures</t>
  </si>
  <si>
    <t xml:space="preserve"> Note 22 Income from Service contracts &amp; Other Income [Pg. 372] -/- Note 25 Other Expenses [Pg. 375] </t>
  </si>
  <si>
    <t xml:space="preserve"> Note 24 [Pg. 251] + Note 21 [Pg. 249] </t>
  </si>
  <si>
    <t>TOTAL RESULT BEFORE TAX PER P&amp;L</t>
  </si>
  <si>
    <t>(3) LRC AND LIC DEEP-DIVE</t>
  </si>
  <si>
    <t>LRC</t>
  </si>
  <si>
    <t>(i.a) OVERVIEW OF CSM DEVELOPMENT:</t>
  </si>
  <si>
    <t>a) Opening balance</t>
  </si>
  <si>
    <t>Pg. 310+319+ 306</t>
  </si>
  <si>
    <t>Non-Life -&gt; Note 6 [Pg.186 &amp; 187] &amp; Life -&gt; Note 6 [Pg. 194 &amp; 195] &amp; Health [Pg. 182]</t>
  </si>
  <si>
    <t>b.1) New business</t>
  </si>
  <si>
    <t>Pg. 310+319</t>
  </si>
  <si>
    <t>b.2) Acquisitions</t>
  </si>
  <si>
    <t>c) Insurance finance results</t>
  </si>
  <si>
    <t>Pg. 309 for Non-life and Life - Pg. 319</t>
  </si>
  <si>
    <t>d) Future service changes (including assumption changes)</t>
  </si>
  <si>
    <t>e) CSM release</t>
  </si>
  <si>
    <t>Pg. 349</t>
  </si>
  <si>
    <r>
      <t xml:space="preserve">Note 9 [Pg. 227] [Note 6 -&gt; Non-Life [Pg.186 &amp; 187]  &amp; Life [Pg. 194 &amp; 195] &amp; Health [Pg. 227] </t>
    </r>
    <r>
      <rPr>
        <b/>
        <i/>
        <sz val="10"/>
        <color rgb="FFC00000"/>
        <rFont val="Arial"/>
        <family val="2"/>
      </rPr>
      <t>--&gt; For Life there are CSM release in PVFCF and RA which does not make sense</t>
    </r>
  </si>
  <si>
    <t>f) Foreign currency</t>
  </si>
  <si>
    <t>g) Other</t>
  </si>
  <si>
    <r>
      <t xml:space="preserve">Non-Life -&gt; Note 6 [Pg.186 &amp; 187] &amp; Life -&gt; Note 6 [Pg. 194 &amp; 195] </t>
    </r>
    <r>
      <rPr>
        <b/>
        <i/>
        <sz val="10"/>
        <color rgb="FFC00000"/>
        <rFont val="Arial"/>
        <family val="2"/>
      </rPr>
      <t>with the reconciling difference for CSM release</t>
    </r>
    <r>
      <rPr>
        <i/>
        <sz val="10"/>
        <color rgb="FF0070C0"/>
        <rFont val="Arial"/>
        <family val="2"/>
      </rPr>
      <t xml:space="preserve"> &amp; </t>
    </r>
    <r>
      <rPr>
        <b/>
        <i/>
        <sz val="10"/>
        <color rgb="FFC00000"/>
        <rFont val="Arial"/>
        <family val="2"/>
      </rPr>
      <t>Health -&gt; Added the balance between Opening - release - closing balance in here</t>
    </r>
  </si>
  <si>
    <t>h) Closing balance</t>
  </si>
  <si>
    <t>OVERVIEW OF CSM DEVELOPMENT with split:</t>
  </si>
  <si>
    <t>A) Opening balance (Non-Life GMM)</t>
  </si>
  <si>
    <t xml:space="preserve"> Pg. 310 &amp; Pg. 311 </t>
  </si>
  <si>
    <t>Note 6 [Pg. 186 &amp; 187]</t>
  </si>
  <si>
    <t>B) Opening balance (Life GMM &amp; VFA)</t>
  </si>
  <si>
    <t xml:space="preserve"> Pg. 319 &amp; Pg. 320 </t>
  </si>
  <si>
    <t>Note 6 [Pg. 194 &amp; 195]</t>
  </si>
  <si>
    <t>C) Opening balance (Health)</t>
  </si>
  <si>
    <t>Note 6 [Pg. 182]</t>
  </si>
  <si>
    <t>A.1) New business (Non-Life GMM)</t>
  </si>
  <si>
    <t>B.1) New business (Life GMM &amp; VFA)</t>
  </si>
  <si>
    <t>C.1) New business (Health)</t>
  </si>
  <si>
    <t>n/a</t>
  </si>
  <si>
    <t>A.2) Acquisitions (Non-Life GMM)</t>
  </si>
  <si>
    <t>B.2) Acquisitions (Life GMM &amp; VFA)</t>
  </si>
  <si>
    <t>C.2) Acquisitions (Health)</t>
  </si>
  <si>
    <t>A.3) Insurance finance results (Non-Life GMM)</t>
  </si>
  <si>
    <t>B.3) Insurance finance results (Life GMM &amp; VFA)</t>
  </si>
  <si>
    <t>C.3) Insurance finance results (Health)</t>
  </si>
  <si>
    <t>A.4) Future service changes (including assumption changes) (Non-Life GMM)</t>
  </si>
  <si>
    <t>B.4) Future service changes (including assumption changes) (Life GMM &amp; VFA)</t>
  </si>
  <si>
    <t>C.4) Future service changes (including assumption changes) (Health)</t>
  </si>
  <si>
    <t>A.5) Future service changes (including assumption changes) that do not adjust the CSM (Non-Life GMM)</t>
  </si>
  <si>
    <t>B.5) Future service changes (including assumption changes) that do not adjust the CSM (Life GMM &amp; VFA)</t>
  </si>
  <si>
    <t>C.5) Future service changes (including assumption changes) that do not adjust the CSM (Health)</t>
  </si>
  <si>
    <t>A.6) CSM release (Non-Life GMM)</t>
  </si>
  <si>
    <t>B.6) CSM release (Life GMM &amp; VFA)</t>
  </si>
  <si>
    <t>C.6) CSM release (Health)</t>
  </si>
  <si>
    <t>A.7) Foreign currency (Non-Life GMM)</t>
  </si>
  <si>
    <t>B.7) Foreign currency (Life GMM &amp; VFA)</t>
  </si>
  <si>
    <t>C.7) Foreign currency (Health)</t>
  </si>
  <si>
    <t>A.8) Other (Non-Life GMM)</t>
  </si>
  <si>
    <t>B.8) Other (Life GMM &amp; VFA)</t>
  </si>
  <si>
    <t>C.8) Other (Health)</t>
  </si>
  <si>
    <t>A) Closing balance (Non-Life GMM)</t>
  </si>
  <si>
    <t>B) Closing balance (Life GMM &amp; VFA)</t>
  </si>
  <si>
    <t>Casting difference of 1€ in 2023 due to differences in release</t>
  </si>
  <si>
    <t>C) Closing balance (Health)</t>
  </si>
  <si>
    <t>Consistent with Pg.306</t>
  </si>
  <si>
    <t>(i.b) CSM RELEASE:</t>
  </si>
  <si>
    <t>a) 0-1 year</t>
  </si>
  <si>
    <t>Pg. 306</t>
  </si>
  <si>
    <t>Pg 182</t>
  </si>
  <si>
    <t>b) 1-2 years</t>
  </si>
  <si>
    <t>c) 2-3 years</t>
  </si>
  <si>
    <t>d) 3-4 years</t>
  </si>
  <si>
    <t>e) 4-5 years</t>
  </si>
  <si>
    <t>f) 5-6 years</t>
  </si>
  <si>
    <t>g) 6-7 years</t>
  </si>
  <si>
    <t>h) 7-8 years</t>
  </si>
  <si>
    <t>i) 8-9 years</t>
  </si>
  <si>
    <t>j) 9-10 years</t>
  </si>
  <si>
    <t>k) &gt;10 years</t>
  </si>
  <si>
    <t>Difference of €5 for 2024 and 1€ for 2023</t>
  </si>
  <si>
    <t>Difference of €2 for 2022</t>
  </si>
  <si>
    <t>(ii.a) OVERVIEW OF RISK ADJUSTMENT DEVELOPMENT:</t>
  </si>
  <si>
    <t>d.1) Future service changes (including assumption changes) adjusting CSM</t>
  </si>
  <si>
    <t>d.ii) Future service changes (including assumption changes) not adjusting CSM</t>
  </si>
  <si>
    <t>Pg. 319</t>
  </si>
  <si>
    <t>e) Past service changes</t>
  </si>
  <si>
    <t>f) Risk Adjustment release</t>
  </si>
  <si>
    <t>g) Foreign currency</t>
  </si>
  <si>
    <t>i) Closing balance</t>
  </si>
  <si>
    <t>Policy choice to disaggregate IFIE?</t>
  </si>
  <si>
    <t>Y</t>
  </si>
  <si>
    <t>Cost of capital rate</t>
  </si>
  <si>
    <t>Pg. 203</t>
  </si>
  <si>
    <t>Confidence level used (ultinate view)</t>
  </si>
  <si>
    <t>- Life</t>
  </si>
  <si>
    <t>Pg. 327</t>
  </si>
  <si>
    <t>Pg. 204 -&gt; In the Netherlands only</t>
  </si>
  <si>
    <t>- Non-Life</t>
  </si>
  <si>
    <t>- Health</t>
  </si>
  <si>
    <t>OVERVIEW OF RISK ADJUSTMENT DEVELOPMENT:</t>
  </si>
  <si>
    <t>Pg. 310</t>
  </si>
  <si>
    <t>A.4) Future service changes (including assumption changes) that adjust the CSM (Non-Life GMM)</t>
  </si>
  <si>
    <t>B.4) Future service changes (including assumption changes) that adjust the CSM (Life GMM &amp; VFA)</t>
  </si>
  <si>
    <t>C.4) Future service changes (including assumption changes) that adjust the CSM (Health)</t>
  </si>
  <si>
    <t>A.6) Past service changes (Non-Life GMM)</t>
  </si>
  <si>
    <t>B.6) Past service changes (Life GMM &amp; VFA)</t>
  </si>
  <si>
    <t>C.6) Past service changes (Health)</t>
  </si>
  <si>
    <t>A.7) RA release (Non-Life GMM)</t>
  </si>
  <si>
    <t>B.7) RA release (Life GMM &amp; VFA)</t>
  </si>
  <si>
    <t>C.7) RA release (Health)</t>
  </si>
  <si>
    <t>Pg. 319 - included in IFIE</t>
  </si>
  <si>
    <t>Pg. 319 - Including experience adjustments and changes due to CSM recognised in the period</t>
  </si>
  <si>
    <t>Not disclosed</t>
  </si>
  <si>
    <t>(iii.a) OVERVIEW OF LOSS COMPONENT DEVELOPMENT NOT PAA:</t>
  </si>
  <si>
    <t>See information below</t>
  </si>
  <si>
    <t>b) (Reversal of) losses on onerous contracts</t>
  </si>
  <si>
    <t xml:space="preserve"> i) New business or acquisitions</t>
  </si>
  <si>
    <t>ii) Systematic allocation</t>
  </si>
  <si>
    <t>iii) Future service changes (including assumption changes)</t>
  </si>
  <si>
    <t>e) Closing balance</t>
  </si>
  <si>
    <t>Difference of 1€ in 2023</t>
  </si>
  <si>
    <t>OVERVIEW OF LOSS COMPONENT (LIFE):</t>
  </si>
  <si>
    <t>Pg. 317</t>
  </si>
  <si>
    <t>Life -&gt; Note 6 [Pg. 192 &amp; 193]</t>
  </si>
  <si>
    <t>Pg. 320</t>
  </si>
  <si>
    <t xml:space="preserve">Pg. 317 - Other changes </t>
  </si>
  <si>
    <t>Difference of 1€ in 2024</t>
  </si>
  <si>
    <t>OVERVIEW OF LOSS COMPONENT (NON-LIFE):</t>
  </si>
  <si>
    <t>Non-life [Pg. 184 &amp; 185]</t>
  </si>
  <si>
    <t>b.1) (Reversal of) losses on onerous contracts - GMM</t>
  </si>
  <si>
    <t>Non-life [Pg. 186 &amp; 187]</t>
  </si>
  <si>
    <t>Pg. 308</t>
  </si>
  <si>
    <t>b.1) (Reversal of) losses on onerous contracts - PAA</t>
  </si>
  <si>
    <t>Balancing amount</t>
  </si>
  <si>
    <t>(iii.b) PAA PORTFOLIO: LOSS COMPONENT DEVELOPMENT</t>
  </si>
  <si>
    <t>OVERVIEW OF LOSS COMPONENT (HEALTH):</t>
  </si>
  <si>
    <t xml:space="preserve"> Pg. 313 &amp; 315 </t>
  </si>
  <si>
    <t>Note 6 [Pg. 189 &amp; 190]</t>
  </si>
  <si>
    <t>Pg. 313</t>
  </si>
  <si>
    <t>Note 6 [Pg. 189 &amp; 190] --&gt; No split between new business and future changes</t>
  </si>
  <si>
    <t>(iv.a) OVERVIEW OF INCURRED CLAIMS AND EXPENSES</t>
  </si>
  <si>
    <t>a) Attributable expenses - GMM/VFA</t>
  </si>
  <si>
    <t>Formula driven | Taken from income statement</t>
  </si>
  <si>
    <t>b) Attributable expenses - PAA</t>
  </si>
  <si>
    <t>Formula driven | Taken from note 123 (pg. 233)</t>
  </si>
  <si>
    <t>c) Non-attributable expenses</t>
  </si>
  <si>
    <t>c) Incurred claims (excl. NDIC) - GMM/VFA</t>
  </si>
  <si>
    <t>d) Incurred claims (excl. NDIC) - PAA</t>
  </si>
  <si>
    <t>e) Actual investment components</t>
  </si>
  <si>
    <t>Note 6 [Pg. 192 &amp; 193] &amp; [Pg. 189 &amp; 190]</t>
  </si>
  <si>
    <t>ACTUAL INVESTMENT COMPONENT</t>
  </si>
  <si>
    <t>Investment component (Non-Life)</t>
  </si>
  <si>
    <t>Investment component &amp; premium refunds (Life)</t>
  </si>
  <si>
    <t>Note 6 [Pg. 192 &amp; 193]</t>
  </si>
  <si>
    <t>Investment component &amp; premium refunds (Health)</t>
  </si>
  <si>
    <t>(v.a) PREMIUM AS NON-GAAP MEASURE</t>
  </si>
  <si>
    <t>a) Gross written premium - Life, Health &amp; Pensions</t>
  </si>
  <si>
    <t>Pg. 25</t>
  </si>
  <si>
    <t>SFCR Pg 29</t>
  </si>
  <si>
    <t xml:space="preserve"> i) Pension &amp; Life</t>
  </si>
  <si>
    <t>Including international activities - pg.44 for total international business (2,100)</t>
  </si>
  <si>
    <t>ii) Health</t>
  </si>
  <si>
    <t>Including international activities</t>
  </si>
  <si>
    <t>b) Gross written premium - Non-Life</t>
  </si>
  <si>
    <t>Pg. 28 - + international activities</t>
  </si>
  <si>
    <t>c) Gross written premium - International activities non life</t>
  </si>
  <si>
    <t>Pg. 28</t>
  </si>
  <si>
    <t>c) Gross written premium - International activities health</t>
  </si>
  <si>
    <t>d) Reinsurance premiums ceded - Life</t>
  </si>
  <si>
    <t>e) Reinsurance premiums ceded - Non-Life</t>
  </si>
  <si>
    <t>Stated</t>
  </si>
  <si>
    <t>(4) PROFITABILITY INPUT</t>
  </si>
  <si>
    <t>(i) RETURN ON EQUITY</t>
  </si>
  <si>
    <t>a) Shareholders Equity</t>
  </si>
  <si>
    <t>(iI) COMBINED RATIO</t>
  </si>
  <si>
    <t>a) PAA</t>
  </si>
  <si>
    <t>- Attributable expenses</t>
  </si>
  <si>
    <t>- Claims (excl. NDIC)</t>
  </si>
  <si>
    <t>- Earned premiums</t>
  </si>
  <si>
    <t>b) GMM/VFA</t>
  </si>
  <si>
    <t>- Claims (excl NDIC)</t>
  </si>
  <si>
    <t>- Insurance revenue</t>
  </si>
  <si>
    <t>c) Combined</t>
  </si>
  <si>
    <t>- Claims</t>
  </si>
  <si>
    <t>(5) CAPITAL &amp; FINANCIAL POSITIONS</t>
  </si>
  <si>
    <t>(i) Solvency ratios</t>
  </si>
  <si>
    <t>a) Solvency II ratio</t>
  </si>
  <si>
    <t>Pg. 29</t>
  </si>
  <si>
    <t>Pg. 34</t>
  </si>
  <si>
    <t>b) Solvency II target ratio</t>
  </si>
  <si>
    <t>Pg. 259</t>
  </si>
  <si>
    <t>c) Solvency Capital Requirement (SCR)</t>
  </si>
  <si>
    <t xml:space="preserve">d) Eligible own funds (E) </t>
  </si>
  <si>
    <t>e) Free capital method 1 (Eligible own funds - (target ratio * SCR))</t>
  </si>
  <si>
    <t xml:space="preserve"> Formula driven </t>
  </si>
  <si>
    <t>f) Free capital method 2 (Eligible own funds - SCR)</t>
  </si>
  <si>
    <t>g) Capital generated (stated)</t>
  </si>
  <si>
    <t>Pg. 26</t>
  </si>
  <si>
    <t>Pg. 34. Please note that 2022 FCG figure has been taken from FY22 annual report as Achmea does not state its FCG of prior year in FY23 report</t>
  </si>
  <si>
    <t>(6) INVESTMENT ASSET MIX</t>
  </si>
  <si>
    <t xml:space="preserve"> 6. INVESTMENTS INVESTMENTS CLASSIFIED BY NATURE </t>
  </si>
  <si>
    <t xml:space="preserve"> 5. INVESTMENTS INVESTMENTS CLASSIFIED BY NATURE </t>
  </si>
  <si>
    <t>Equities &amp; similar investments</t>
  </si>
  <si>
    <t>Pg. 299</t>
  </si>
  <si>
    <t>Note 5 [Pg. 175]</t>
  </si>
  <si>
    <t> </t>
  </si>
  <si>
    <t>Fixed income instruments:</t>
  </si>
  <si>
    <t>Bonds from or guaranteed by Governments</t>
  </si>
  <si>
    <t>Securitised bonds</t>
  </si>
  <si>
    <t>Corporate bonds</t>
  </si>
  <si>
    <t>Convertible bonds</t>
  </si>
  <si>
    <t>Loans secured by mortgages</t>
  </si>
  <si>
    <t>Loans and deposits with credit institutions</t>
  </si>
  <si>
    <t xml:space="preserve">Total FIS: </t>
  </si>
  <si>
    <t xml:space="preserve">Derivatives </t>
  </si>
  <si>
    <t>Other financial instruments</t>
  </si>
  <si>
    <t>Total Investments from insurance and other activities</t>
  </si>
  <si>
    <t>Banking credit portfolio</t>
  </si>
  <si>
    <t>Total Banking credit portfolio</t>
  </si>
  <si>
    <t xml:space="preserve"> Subtotal </t>
  </si>
  <si>
    <t>Property</t>
  </si>
  <si>
    <t>Investment property</t>
  </si>
  <si>
    <t>Pg. 342</t>
  </si>
  <si>
    <t>Pg. 219</t>
  </si>
  <si>
    <t>Total Investments</t>
  </si>
  <si>
    <t>(7) INVESTMENT ASSET MIX (based on financed emissions)</t>
  </si>
  <si>
    <t>1. Own risk</t>
  </si>
  <si>
    <t xml:space="preserve"> TABLE 4: FINANCED GHG EMISSIONS FROM ACHMEA'S CONSOLIDATED PERSPECTIVE </t>
  </si>
  <si>
    <t xml:space="preserve"> SUPPLEMENT B. DETAILED SUSTAINABILITY INFORMATION FINANCED EMISSIONS </t>
  </si>
  <si>
    <t>Listed equity</t>
  </si>
  <si>
    <t>Pg. 165</t>
  </si>
  <si>
    <t>Supplement B: Pg. 325 &amp; 326</t>
  </si>
  <si>
    <t>Government bonds</t>
  </si>
  <si>
    <t>Mortgages (investment insurance options)</t>
  </si>
  <si>
    <t>Mortgages banking credit portfolio</t>
  </si>
  <si>
    <t>Investment loans</t>
  </si>
  <si>
    <t xml:space="preserve">Other categories </t>
  </si>
  <si>
    <t>Total</t>
  </si>
  <si>
    <t>2. Account and risk policyholders</t>
  </si>
  <si>
    <t xml:space="preserve">Equities </t>
  </si>
  <si>
    <t>EU government bonds</t>
  </si>
  <si>
    <t>Non-EU government bonds</t>
  </si>
  <si>
    <t>Funds - equity</t>
  </si>
  <si>
    <t>Total Investments incl investment property</t>
  </si>
  <si>
    <t>Investment breakdown</t>
  </si>
  <si>
    <t>Pg. 299 &amp; Pg. 342</t>
  </si>
  <si>
    <t>Pg. 175 &amp; 219</t>
  </si>
  <si>
    <t>FVOCI</t>
  </si>
  <si>
    <t>Pg. 175</t>
  </si>
  <si>
    <t>FVTPL</t>
  </si>
  <si>
    <t xml:space="preserve">Amortised cost </t>
  </si>
  <si>
    <t>Mapping Financial Statements - a.s.r. Dataset</t>
  </si>
  <si>
    <t>a.s.r.</t>
  </si>
  <si>
    <t>Note 7.5.13 [Pg 316]</t>
  </si>
  <si>
    <t xml:space="preserve">Note 7.5.13 [Pg.234] </t>
  </si>
  <si>
    <t>Note 7.5.14 [Pg 334]</t>
  </si>
  <si>
    <t>Note 7.5.14.1 [Pg. 255]</t>
  </si>
  <si>
    <t>Note 7.5.13 [Pg.234]</t>
  </si>
  <si>
    <t>Note 7.5.13 [Pg. 316]</t>
  </si>
  <si>
    <t xml:space="preserve">Note 7.5.14.4 [Pg. 338]   </t>
  </si>
  <si>
    <t>Note 7.5.14.4 [Pg. 258]</t>
  </si>
  <si>
    <t>Note 7.5.13 [Pg. 316] - consists of prepaid premiums for insurance contracts not yet recognised</t>
  </si>
  <si>
    <t>Note 7.5.13 [Pg. 234]  - relates to prepaid commission</t>
  </si>
  <si>
    <r>
      <t xml:space="preserve">Agree to the balance sheet [Pg. 176] with 2022 having a casting error of </t>
    </r>
    <r>
      <rPr>
        <b/>
        <sz val="10"/>
        <color rgb="FF0070C0"/>
        <rFont val="Calibri"/>
        <family val="2"/>
      </rPr>
      <t>Є</t>
    </r>
    <r>
      <rPr>
        <b/>
        <i/>
        <sz val="10"/>
        <color rgb="FF0070C0"/>
        <rFont val="Arial"/>
        <family val="2"/>
      </rPr>
      <t>2</t>
    </r>
  </si>
  <si>
    <t xml:space="preserve">Note 7.5.14 [P. 336] &amp; Note 7.5.13.2 [Pg. 323] </t>
  </si>
  <si>
    <t xml:space="preserve">Note 7.5.13.1 [Pg. 237 &amp; 246] </t>
  </si>
  <si>
    <t xml:space="preserve"> Note 7.5.13.2 [Pg. 322] &amp; Note 7.5.14.1 [Pg. 334] </t>
  </si>
  <si>
    <t xml:space="preserve">Note 7.5.13.2 [Pg. 244] &amp; Note 7.5.14.1 [Pg. 255] </t>
  </si>
  <si>
    <t xml:space="preserve">Note 7.5.13.2 [Pg. 244] &amp; Note 7.5.14.1 [Pg. 256] </t>
  </si>
  <si>
    <t xml:space="preserve">Note 7.5.13.1 [Pg. 321] </t>
  </si>
  <si>
    <t xml:space="preserve">Note 7.5.13.1 [Pg. 237] </t>
  </si>
  <si>
    <t xml:space="preserve">Note 7.5.13.1 [Pg. 317]   </t>
  </si>
  <si>
    <t xml:space="preserve">Note 7.5.13.1 [Pg. 236] </t>
  </si>
  <si>
    <t>Pg.316 - Non life (PAA)</t>
  </si>
  <si>
    <t>Formula</t>
  </si>
  <si>
    <t xml:space="preserve">Note 7.5.13.1 [Pg. 242] </t>
  </si>
  <si>
    <t xml:space="preserve">Note 7.5.13 [Pg. 316] </t>
  </si>
  <si>
    <t>Note 7.2.2 [Pg. 264]</t>
  </si>
  <si>
    <t>Note 7.6.1 [Pg. 346]</t>
  </si>
  <si>
    <t>Note 7.6.1 [Pg.266]</t>
  </si>
  <si>
    <t>Note 7.5.13.2 [Pg. 323] &amp; Note 7.5.13.1 [Pg. 320] &amp; 7.5.14.1[Pg. 336]</t>
  </si>
  <si>
    <t>Note 7.5.13.1 [Pg.237 &amp; 238] + Note 7.5.13.2 [Pg.246 &amp; 247] + Note 7.5.14.1 [Pg.256 &amp; 257]</t>
  </si>
  <si>
    <t>Note 7.5.14.1 [Pg. 336] &amp; Note 7.5.13.1 [Pg. 320] &amp; Note 7.5.13.2 [Pg. 323]</t>
  </si>
  <si>
    <t>Note 7.5.13.1 [Pg.235 &amp; 236] + Note 7.5.13.2 [Pg.244 &amp; 245] + Note 7.5.14.1 [Pg.255] - removing the LC from new business</t>
  </si>
  <si>
    <t>N/A [All systematic allocation included in the line below]</t>
  </si>
  <si>
    <t xml:space="preserve">Note 7.5.13.1 [Pg. 317] &amp; Note 7.5.13.2 [Pg. 322] &amp; Note 7.5.14.1 [Pg. 334] </t>
  </si>
  <si>
    <t>Note 7.5.13.1 [Pg.235 &amp; 236] + Note 7.5.13.2 [Pg.244 &amp; 245] + Note 7.5.14.1 [Pg.255] - Fully allocated the systematic allocation to the claims</t>
  </si>
  <si>
    <t>N/A [All systematic allocation included in the line above]</t>
  </si>
  <si>
    <t>NET OF SYSTEMATIC ALLOCATION = Note 7.6.1 [Pg.266] - include expenses</t>
  </si>
  <si>
    <t>Note 7.5.13.1 [Pg. 317] &amp;  7.5.13.2 [Pg. 322] &amp; 7.5.14.1 [Pg. 334]</t>
  </si>
  <si>
    <t>GROSS OF SYSTEMATIC ALLOCATION = Note 7.5.13.1 [Pg.235 &amp; 236] + Note 7.5.13.2 [Pg.244 &amp; 245] + Note 7.5.14.1 [Pg.255]</t>
  </si>
  <si>
    <t>Note 7.5.13.1 [Pg.235 &amp; 236] + Note 7.5.13.2 [Pg.244 &amp; 245] + Note 7.5.14.1 [Pg.255]</t>
  </si>
  <si>
    <t>Slight variations versus figures reported in FS due to rounding issues (133 and 123 reported on Pg. 242 of FS)</t>
  </si>
  <si>
    <t>Note 7.5.13.1 [Pg. 317]</t>
  </si>
  <si>
    <t>Note 7.5.13.1 [Pg.242]</t>
  </si>
  <si>
    <t>Assuming 0 as there is no separate disclosure</t>
  </si>
  <si>
    <t>Note 7.5.13.1 [Pg.317] + Note 7.5.13.2 [Pg.322] + Note 7.5.14.1 [Pg.344]</t>
  </si>
  <si>
    <t>Note 7.5.13.1 [Pg. 317] &amp; 7.5.13.2 [Pg. 322] &amp; 7.5.14.1 [Pg. 334]</t>
  </si>
  <si>
    <t>- Check whether we need a fix for 2024</t>
  </si>
  <si>
    <t>Casting difference of €1 for 2024</t>
  </si>
  <si>
    <t>Claims and benefits</t>
  </si>
  <si>
    <t>Casting difference of €2 for 2024</t>
  </si>
  <si>
    <t>Casting difference of €1 for 2023</t>
  </si>
  <si>
    <t>Insurance service operating expenses</t>
  </si>
  <si>
    <t>Difference of -€5 for 2023 &amp; €35 for 2022</t>
  </si>
  <si>
    <t>Taken from income statement - Pg.264</t>
  </si>
  <si>
    <t>Note 7.6.4 [Pg. 349 &amp; 350]</t>
  </si>
  <si>
    <t>Note 7.6.4 [Pg. 268]</t>
  </si>
  <si>
    <t>Note 7.6.5 [Pg. 268]</t>
  </si>
  <si>
    <t>Note 7.6.4 [Pg. 347]</t>
  </si>
  <si>
    <t>Note 7.6.4 [Pg. 267]</t>
  </si>
  <si>
    <t>Note 7.6.5 [Pg. 348]</t>
  </si>
  <si>
    <t>Note 7.6.6 [Pg. 348]</t>
  </si>
  <si>
    <t>Note 7.6.6 [Pg. 268]</t>
  </si>
  <si>
    <t>Note 7.6.4 [Pg. 347] + 7.6.8 [Pg. 350] + Note 7.6.5 [Pg. 348]</t>
  </si>
  <si>
    <t>Note 7.6.4 [Pg. 267] + 7.6.8 [Pg. 270] + Note 7.6.5 [Pg. 268]</t>
  </si>
  <si>
    <t>Note 7.6.7 [Pg. 349]</t>
  </si>
  <si>
    <t>Note 7.6.7 [Pg. 269]</t>
  </si>
  <si>
    <t>Note 7.6.8 [Pg. 350]</t>
  </si>
  <si>
    <t>Note 7.6.8 [Pg. 270] + Adjusted to remove the finance expenses for derivatives and move to results on derivatives.</t>
  </si>
  <si>
    <t>Casting difference 1€ for 2024</t>
  </si>
  <si>
    <t>Casting difference 8€ for 2024</t>
  </si>
  <si>
    <t>Note 7.5.13.4.4 [Pg. 329]</t>
  </si>
  <si>
    <t>Pg. 251</t>
  </si>
  <si>
    <t>Note 7.8 [Pg. 389]</t>
  </si>
  <si>
    <t>Face of income statement</t>
  </si>
  <si>
    <t>Note 7.6.11 [Pg. 271] &amp; Face of income statement</t>
  </si>
  <si>
    <t>Pg.264</t>
  </si>
  <si>
    <t>(i.a) OVERVIEW OF CSM DEVELOPMENT NOT PAA:</t>
  </si>
  <si>
    <t>7.5.13.2 [Pg. 323] &amp; 7.5.14.1 [Pg. 336] &amp; 7.5.13.1 [Pg. 320]</t>
  </si>
  <si>
    <t xml:space="preserve">Note 7.5.13.1 [Pg. 237 &amp; 238 &amp; 246 &amp; 247] &amp; Note 7.5.14.1 [Pg. 256 &amp; 257] </t>
  </si>
  <si>
    <t>Note 7.5.13.5 [330]</t>
  </si>
  <si>
    <t>[Pg. 330, 331, 338]</t>
  </si>
  <si>
    <t>Casting error for 2023 of €1 [related to Pg. 237] + Casting error for 2022 of €1 [related to Pg. 238] &amp; €1 [related to Pg. 247] &amp; €1 [related to Pg. 257]</t>
  </si>
  <si>
    <t>Casting error of €1 for 2022</t>
  </si>
  <si>
    <t>Note 7.5.13.1 [Pg. 237 &amp; 238]</t>
  </si>
  <si>
    <t>B) Opening balance (Life GMM)</t>
  </si>
  <si>
    <t>Pg. 323</t>
  </si>
  <si>
    <t>Note 7.5.13.1 [Pg. 246 &amp; 247]</t>
  </si>
  <si>
    <t>C) Opening balance (VFA)</t>
  </si>
  <si>
    <t>Ph. 336</t>
  </si>
  <si>
    <t>Note 7.5.14.1 [Pg. 256 &amp; 257]</t>
  </si>
  <si>
    <t>B.1) New business (Life GMM)</t>
  </si>
  <si>
    <t>C.1) New business (VFA)</t>
  </si>
  <si>
    <t>B.2) Acquisitions (Life GMM)</t>
  </si>
  <si>
    <t>C.2) Acquisitions (VFA)</t>
  </si>
  <si>
    <t>B.3) Insurance finance results (Life GMM)</t>
  </si>
  <si>
    <t>C.3) Insurance finance results (VFA)</t>
  </si>
  <si>
    <t>Pg. 336</t>
  </si>
  <si>
    <t>B.4) Future service changes (including assumption changes) (Life GMM)</t>
  </si>
  <si>
    <t>C.4) Future service changes (including assumption changes) (VFA)</t>
  </si>
  <si>
    <t>A.5) CSM release (Non-Life GMM)</t>
  </si>
  <si>
    <t>B.5) CSM release (Life GMM)</t>
  </si>
  <si>
    <t>C.5) CSM release (VFA)</t>
  </si>
  <si>
    <t>A.6) Foreign currency (Non-Life GMM)</t>
  </si>
  <si>
    <t>B.6) Foreign currency (Life GMM)</t>
  </si>
  <si>
    <t>C.6) Foreign currency (VFA)</t>
  </si>
  <si>
    <t>A.7) Other (Non-Life GMM)</t>
  </si>
  <si>
    <t>B.7) Other (Life GMM)</t>
  </si>
  <si>
    <t>C.7) Other (VFA)</t>
  </si>
  <si>
    <t>Casting error 1€ for 2024</t>
  </si>
  <si>
    <t>Note 7.5.13.1 [Pg. 237 &amp; 238] - Figurs are overwritten, as there are slight differences due to variations in decimal. Casting error of -1 for 2022 and 2023</t>
  </si>
  <si>
    <t>B) Closing balance (Life GMM)</t>
  </si>
  <si>
    <t>Note 7.5.13.1 [Pg. 246 &amp; 247] - Figurs are overwritten, as there are slight differences due to variations in decimal. Casting error of -1 for 2022</t>
  </si>
  <si>
    <t>C) Closing balance (VFA)</t>
  </si>
  <si>
    <t>Note 7.5.14.1 [Pg. 256 &amp; 257] - Figurs are overwritten, as there are slight differences due to variations in decimal. Casting error of -2 for 2022</t>
  </si>
  <si>
    <t>(i.b) CSM RELEASE NOT PAA:</t>
  </si>
  <si>
    <t>Note: 7.5.13.6 [Pg. 331]</t>
  </si>
  <si>
    <t xml:space="preserve">Note 7.5.13.5 [Pg. 252]  &amp; Note 7.5.14.3 [Pg. 258] </t>
  </si>
  <si>
    <t>Casting error of 1€ for 2024</t>
  </si>
  <si>
    <t>Casting error for 2023 of €1 for Non-life GMM &amp; €1 for Life GMM + Casting error for 2022 of €1 for VFA</t>
  </si>
  <si>
    <t xml:space="preserve">7.5.13.2 [Pg. 323] &amp; 7.5.14.1 [Pg. 336] &amp; 7.5.13.1 [Pg. 320] </t>
  </si>
  <si>
    <t xml:space="preserve">h) Experience adjustments &amp; Other </t>
  </si>
  <si>
    <t>Casting error for 2023 of €2 [related to Pg.237] &amp; €1 [related to Pg. 256] + Casting error for 2022 of €1 [related to Pg.238] &amp; €1 [related to Pg. 257]</t>
  </si>
  <si>
    <t>Inconsistency of €1 for both 2023 and 2022</t>
  </si>
  <si>
    <t>Pg. 201</t>
  </si>
  <si>
    <t>Note 7.5.13.4.3 [Pg. 329]</t>
  </si>
  <si>
    <t>Pg. 250</t>
  </si>
  <si>
    <t>66-76%</t>
  </si>
  <si>
    <t>pg. 336</t>
  </si>
  <si>
    <t>A.4) Future service changes (including assumption changes) adjusting CSM(Non-Life GMM)</t>
  </si>
  <si>
    <t>B.4) Future service changes (including assumption changes) adjusting CSM (Life GMM)</t>
  </si>
  <si>
    <t>C.4) Future service changes (including assumption changes) adjusting CSM (VFA)</t>
  </si>
  <si>
    <t>A.5) Future service changes (including assumption changes) not adjusting CSM(Non-Life GMM)</t>
  </si>
  <si>
    <t>B.5) Future service changes (including assumption changes) not adjusting CSM (Life GMM)</t>
  </si>
  <si>
    <t>C.5) Future service changes (including assumption changes) not adjusting CSM (VFA)</t>
  </si>
  <si>
    <t>B.6) Past service changes (Life GMM)</t>
  </si>
  <si>
    <t>C.6) Past service changes (VFA)</t>
  </si>
  <si>
    <t>B.7) RA release (Life GMM)</t>
  </si>
  <si>
    <t>C.7) RA release (Life GMM)</t>
  </si>
  <si>
    <t>A.8) Foreign currency (Non-Life GMM)</t>
  </si>
  <si>
    <t>B.8) Foreign currency (Life GMM)</t>
  </si>
  <si>
    <t>C.8) Foreign currency (VFA)</t>
  </si>
  <si>
    <t>A.9) Other (Non-Life GMM)</t>
  </si>
  <si>
    <t>B.9) Other (Life GMM)</t>
  </si>
  <si>
    <t>C.9) Other (VFA)</t>
  </si>
  <si>
    <t>A.10) Experience adjustments (Non-Life GMM)</t>
  </si>
  <si>
    <t>B.10) Experience adjustments (Life GMM)</t>
  </si>
  <si>
    <t>C.10) Experience adjustments (VFA)</t>
  </si>
  <si>
    <t>Note 7.5.14.1 [Pg. 256 &amp; 257] - Figurs are overwritten, as there are slight differences due to variations in decimal. Casting error of -1 for 2022 and 2023</t>
  </si>
  <si>
    <t xml:space="preserve">Note 7.5.13.1 [Pg. 235 &amp; 236 &amp; 244 &amp; 245] &amp; Note 7.5.14.1 [Pg. 255] </t>
  </si>
  <si>
    <t>Note 7.5.13.1 [Pg. 235 &amp; 236 &amp; 244 &amp; 245] &amp; Note 7.5.14.1 [Pg. 255]  less the new business LC</t>
  </si>
  <si>
    <t>Pg. 320, 317, 334</t>
  </si>
  <si>
    <t xml:space="preserve">Note 7.5.13.1 [Pg. 235 &amp; 236 &amp; 244 &amp; 245] &amp; Note 7.5.14.1 [Pg. 254 &amp; 255] </t>
  </si>
  <si>
    <t>Casting difference 3€</t>
  </si>
  <si>
    <t>Casting error of €1 for both 2023 and 2022.</t>
  </si>
  <si>
    <t>Pg.322+pg-334</t>
  </si>
  <si>
    <t>Casting difference 1€</t>
  </si>
  <si>
    <t>Assuming 0 as there is no disagreggation note for PAA</t>
  </si>
  <si>
    <t>Note 7.5.13.1 [Pg. 242]</t>
  </si>
  <si>
    <t>Included in the future service change is some of the new business impact - if any</t>
  </si>
  <si>
    <t>Note 7.5.13.1 [Pg. 235 &amp; 236 and Pg. 244 &amp; 245] + Note 7.5.14.1 [Pg. 255]</t>
  </si>
  <si>
    <t>Investment component (Non-Life GMM)</t>
  </si>
  <si>
    <t>Note 7.5.13.1 [Pg. 235 &amp; 236]</t>
  </si>
  <si>
    <t>Investment component (Life GMM)</t>
  </si>
  <si>
    <t>7.5.13.2 [Pg. 322]</t>
  </si>
  <si>
    <t>Note 7.5.13.2 [Pg. 244 &amp; 245]</t>
  </si>
  <si>
    <t>Investment component (VFA)</t>
  </si>
  <si>
    <t>7.5.14.1 [Pg. 334]</t>
  </si>
  <si>
    <t>a) Gross written premium - Life</t>
  </si>
  <si>
    <t xml:space="preserve"> Pg. 82 </t>
  </si>
  <si>
    <t>STOI 22</t>
  </si>
  <si>
    <t>Pg. 74</t>
  </si>
  <si>
    <t>P&amp;C &amp; Disability</t>
  </si>
  <si>
    <t>Pg. 9</t>
  </si>
  <si>
    <t>Annual report ASR 2024</t>
  </si>
  <si>
    <t>Health</t>
  </si>
  <si>
    <t>c) Reinsurance premiums ceded - Life</t>
  </si>
  <si>
    <t>d) Reinsurance premiums ceded - Non-Life</t>
  </si>
  <si>
    <t>Pg. 109</t>
  </si>
  <si>
    <t>Note 7.9 [Pg. 317] and Pg. 319</t>
  </si>
  <si>
    <t>Pg. 27</t>
  </si>
  <si>
    <t>Pg. 318</t>
  </si>
  <si>
    <t>7.9.2 [Pg. 403]</t>
  </si>
  <si>
    <t>Note 7.9 [Pg. 317]</t>
  </si>
  <si>
    <t>2386,6</t>
  </si>
  <si>
    <t>1048,4</t>
  </si>
  <si>
    <t xml:space="preserve">7.11.3.12 [Pg. 414] </t>
  </si>
  <si>
    <t>8.4.1 [Pg. 447]</t>
  </si>
  <si>
    <t>Note 8.2 [Pg. 341] - listed as "Organic capital creation"</t>
  </si>
  <si>
    <t>1. Investments Property</t>
  </si>
  <si>
    <t>Investments Property</t>
  </si>
  <si>
    <t>7.2.1 [Pg. 262]</t>
  </si>
  <si>
    <t>7.2 [Pg. 176] &amp; Note 7.5.3 [Pg. 225]</t>
  </si>
  <si>
    <t>2a. Investments at FVTPL</t>
  </si>
  <si>
    <t>Fin. Investments transferred under repurchase agreements</t>
  </si>
  <si>
    <t>7.5.5 [Pg. 307]</t>
  </si>
  <si>
    <t>Note 7.5.5.1 [Pg. 227]</t>
  </si>
  <si>
    <t>Fin. Investments - own risk</t>
  </si>
  <si>
    <t xml:space="preserve">Real Estate equity funds </t>
  </si>
  <si>
    <t xml:space="preserve">Mortgage equity funds </t>
  </si>
  <si>
    <t xml:space="preserve">Debt equity funds </t>
  </si>
  <si>
    <t xml:space="preserve">Government bonds </t>
  </si>
  <si>
    <t xml:space="preserve">Corporate bonds </t>
  </si>
  <si>
    <t>Asset-backed securities</t>
  </si>
  <si>
    <t>Other investment funds</t>
  </si>
  <si>
    <t>Equities</t>
  </si>
  <si>
    <t xml:space="preserve">Mortgage loans </t>
  </si>
  <si>
    <t xml:space="preserve">Private loans </t>
  </si>
  <si>
    <t>Total Investments at FVTPL</t>
  </si>
  <si>
    <t>2b. Investments at FVOCI</t>
  </si>
  <si>
    <t>Note 7.5.5.2 [Pg. 227]</t>
  </si>
  <si>
    <t xml:space="preserve">Preferrence Shares </t>
  </si>
  <si>
    <t>Other participating contracts</t>
  </si>
  <si>
    <t>Total Investments at FVOCI</t>
  </si>
  <si>
    <t xml:space="preserve">2c. Investments at Amortized cost </t>
  </si>
  <si>
    <t>7.5.5.3 [Pg. 308]</t>
  </si>
  <si>
    <t>Note 7.5.5.3 [Pg. 228]</t>
  </si>
  <si>
    <t>Private loans</t>
  </si>
  <si>
    <t>Total Investments at Amortized cost</t>
  </si>
  <si>
    <t>2. Total Investments</t>
  </si>
  <si>
    <t>Consistent with stated disclosure pg 262</t>
  </si>
  <si>
    <t>Off by 1 for 2023 versus FS (92466 in FS), owing decimal variations</t>
  </si>
  <si>
    <t>3. Investments relating to direct participating insurance contracts</t>
  </si>
  <si>
    <t>7.5.6 [Pg. 308]</t>
  </si>
  <si>
    <t>Note 7.5.6 [Pg. 228]</t>
  </si>
  <si>
    <t>Other investments</t>
  </si>
  <si>
    <t>Total investments related to direct participating insurance contracts</t>
  </si>
  <si>
    <t>Off by 1 for 2024 versus FS (33,025 in FS), owing decimal variations</t>
  </si>
  <si>
    <t>Off by 2 for 2023 and 1 for 2022 versus FS (30352 and 9912 in FS), owing decimal variations</t>
  </si>
  <si>
    <t>4. Derivatives - Asset</t>
  </si>
  <si>
    <t xml:space="preserve">Foreign exchange contracts </t>
  </si>
  <si>
    <t>7.5.7 [Pg. 309]</t>
  </si>
  <si>
    <t>Note 7.5.7 [Pg. 229]</t>
  </si>
  <si>
    <t>Interest rate contracts:</t>
  </si>
  <si>
    <t xml:space="preserve">a. Swaps </t>
  </si>
  <si>
    <t xml:space="preserve">b. Options </t>
  </si>
  <si>
    <t>c. Futures</t>
  </si>
  <si>
    <t xml:space="preserve">Inflation linked swaps </t>
  </si>
  <si>
    <t xml:space="preserve">Equity index contracts </t>
  </si>
  <si>
    <t xml:space="preserve">Credit Default swaps </t>
  </si>
  <si>
    <t>Off by 1 for 2023 versus FS (12907 in FS), owing decimal variations</t>
  </si>
  <si>
    <t>Mapping Financial Statements - Athora NL Dataset</t>
  </si>
  <si>
    <t>ATHORA</t>
  </si>
  <si>
    <t>Note 11 (pg.123)  [Adjusted to exclude the pre-recognition IACFs]</t>
  </si>
  <si>
    <t>Note 15 (pg.144)  [Adjusted to exclude the pre-recognition IACFs]</t>
  </si>
  <si>
    <t>Note 11 (pg.123)</t>
  </si>
  <si>
    <t>Note 15 (pg.144)</t>
  </si>
  <si>
    <t>Note 11 (pg.126)</t>
  </si>
  <si>
    <t>Note 15 (pg.147) [gross up with the pre-recognition IACFs]</t>
  </si>
  <si>
    <t>Note 15 (pg.147)</t>
  </si>
  <si>
    <t>Note 11 (pg.124 &amp; 125)</t>
  </si>
  <si>
    <t>Note 15 - Pg.145</t>
  </si>
  <si>
    <t>Note 11 (pg.135)</t>
  </si>
  <si>
    <t>Note 15 (pg.154)</t>
  </si>
  <si>
    <t>Rounding diff of 1</t>
  </si>
  <si>
    <t>Note 11 (pg.129)</t>
  </si>
  <si>
    <t>Note 15 (pg.152)</t>
  </si>
  <si>
    <t>Pg. 124</t>
  </si>
  <si>
    <t>Note 15 (pg.148)</t>
  </si>
  <si>
    <t>Pg. 126</t>
  </si>
  <si>
    <t>Note 24 - Pg.168 &amp; Note 15 - Pg.147 &amp; 148</t>
  </si>
  <si>
    <t>Note 11 (pg.126 &amp; 127]</t>
  </si>
  <si>
    <t>Note 15 - Pg.145 &amp; 146 [All systematic allocation included in here]</t>
  </si>
  <si>
    <t xml:space="preserve">This net of the premium experience adjustment agrees to Note 15 [Pg. 147 &amp; 148] </t>
  </si>
  <si>
    <t>NET OF SYSTEMATIC ALLOCATION = Note 24 - Pg.168 [Includes expenses]</t>
  </si>
  <si>
    <r>
      <rPr>
        <i/>
        <sz val="10"/>
        <color rgb="FF00B050"/>
        <rFont val="Arial"/>
        <family val="2"/>
      </rPr>
      <t>Formula driven</t>
    </r>
    <r>
      <rPr>
        <i/>
        <sz val="10"/>
        <color rgb="FF0070C0"/>
        <rFont val="Arial"/>
        <family val="2"/>
      </rPr>
      <t>. GROSS OF SYSTEMATIC ALLOCATION = Note 15 - Pg. 144 &amp; Note 24 however add back the systematic allocation</t>
    </r>
  </si>
  <si>
    <t>Note 21 &amp; Note 22 [Pg. 150 &amp; 151]</t>
  </si>
  <si>
    <t>Note 31 - Pg.172 &amp; 173 ("Attributable to insurance service expenses" &amp; "Attributable to other service expenses")</t>
  </si>
  <si>
    <t>Note 15 (pg.146)</t>
  </si>
  <si>
    <t>Note 24 (pg.168)</t>
  </si>
  <si>
    <t>Note 6.2; Pg. 75</t>
  </si>
  <si>
    <t>Note 19 (pg.149)</t>
  </si>
  <si>
    <t>Note 25 (pg.171)</t>
  </si>
  <si>
    <t>Note 25 (pg.170)</t>
  </si>
  <si>
    <t>P&amp;L [Pg. 75]</t>
  </si>
  <si>
    <t>Face of the income statement &amp; Note 29 [Pg. 172]</t>
  </si>
  <si>
    <t>Note 25 (pg.170) [Includes the investment expenses not attributable to insurance service expenses]</t>
  </si>
  <si>
    <t>Information not available (FVUI not applicable)</t>
  </si>
  <si>
    <t>Face of the income statement &amp; Note 32 [Pg. 174]</t>
  </si>
  <si>
    <t>Note 19 (pg.148)</t>
  </si>
  <si>
    <t>Note 11 (pg.133)</t>
  </si>
  <si>
    <t>Note 15 (pg.153)</t>
  </si>
  <si>
    <t>Note 7.1 (pg.97)</t>
  </si>
  <si>
    <t>Note 6.1.2 (pg.114)</t>
  </si>
  <si>
    <t xml:space="preserve"> P&amp;L [Pg. 75] </t>
  </si>
  <si>
    <t xml:space="preserve"> P&amp;L [Pg. 83] </t>
  </si>
  <si>
    <t>Note 15 [Pg. 147 &amp; 148]</t>
  </si>
  <si>
    <t>Acquisition of insurance contracts from Onderlinge Levensverzekering-Maatschappij ‘s-Gravenhage UA</t>
  </si>
  <si>
    <t xml:space="preserve">Casting difference of €1 for 2023 </t>
  </si>
  <si>
    <t>Note 11 [Pg. 136 &amp; 137]</t>
  </si>
  <si>
    <t>Note 15 [Pg. 156]</t>
  </si>
  <si>
    <t>Note 11 [Pg. 126 &amp; 127]</t>
  </si>
  <si>
    <t>N</t>
  </si>
  <si>
    <t>Pg. 98</t>
  </si>
  <si>
    <t>Note [Pg. 115]</t>
  </si>
  <si>
    <t>Note 11 [Pg. 134]</t>
  </si>
  <si>
    <t>Note 15 [Pg. 154]</t>
  </si>
  <si>
    <t>Note 15 [Pg. 145 &amp; 146]</t>
  </si>
  <si>
    <t>Note 11 [Pg. 124 &amp; 125]</t>
  </si>
  <si>
    <t>Formula driven | Taken from P&amp;L</t>
  </si>
  <si>
    <t>Note 11 [Pg. 124]</t>
  </si>
  <si>
    <t>Pg. 14</t>
  </si>
  <si>
    <t>Pg. 21</t>
  </si>
  <si>
    <t>Information not available</t>
  </si>
  <si>
    <t>Pg. 68</t>
  </si>
  <si>
    <t>Pg. 63</t>
  </si>
  <si>
    <t>Note 8.4 [Pg.182]</t>
  </si>
  <si>
    <t>Note 7.4.5 [Pg. 215]</t>
  </si>
  <si>
    <t>Pg. 7</t>
  </si>
  <si>
    <t>Pg. 7 (Under key figures)</t>
  </si>
  <si>
    <t>1. Investments for general account</t>
  </si>
  <si>
    <t>1a.1. Sovereign</t>
  </si>
  <si>
    <t>Note 5 [Pg. 115]</t>
  </si>
  <si>
    <t>Note 5 [Pg. 136]</t>
  </si>
  <si>
    <t>1a.2. Corporate bonds - financial sector</t>
  </si>
  <si>
    <t>1a.3. Corporate bonds - non-financial sector</t>
  </si>
  <si>
    <t>1a.4. Asset backed securities</t>
  </si>
  <si>
    <t>1a.5. Loans</t>
  </si>
  <si>
    <t>1a.6. Mortgages</t>
  </si>
  <si>
    <t>1a.7. Other</t>
  </si>
  <si>
    <t>1a. Total debt instruments</t>
  </si>
  <si>
    <t>Agrees to break down on pg. 134</t>
  </si>
  <si>
    <t>1b. Shares and similar investments</t>
  </si>
  <si>
    <t>Pg. 134</t>
  </si>
  <si>
    <t>1c. Loans and advances due from banks</t>
  </si>
  <si>
    <t>Total (Investments for general account)</t>
  </si>
  <si>
    <t>2. Investments for account of policyholders</t>
  </si>
  <si>
    <t xml:space="preserve">2a.Shares and similar investments </t>
  </si>
  <si>
    <t>Note 5 [Pg. 138]</t>
  </si>
  <si>
    <t>2b. Bonds</t>
  </si>
  <si>
    <t>Total (Investments for account of policyholders)</t>
  </si>
  <si>
    <t>Agrees to break down on pg. 138</t>
  </si>
  <si>
    <t>3. Investments / Liabilities for Account of Third Parties</t>
  </si>
  <si>
    <t>3a. Shares and similar investments (i.e. investment in investment funds)</t>
  </si>
  <si>
    <t>Note 6 [Pg. 139]</t>
  </si>
  <si>
    <t xml:space="preserve">3b. Other investments </t>
  </si>
  <si>
    <t>3c. Cash of participants to be invested</t>
  </si>
  <si>
    <t>4. Investment Property</t>
  </si>
  <si>
    <t>Note 4 [Pg. 114]</t>
  </si>
  <si>
    <t>Note 4 [Pg. 133]</t>
  </si>
  <si>
    <t>Right-of-use assets (ROU): Investment property</t>
  </si>
  <si>
    <t>5. Derivatives</t>
  </si>
  <si>
    <t>Note 5 [Pg. 117]</t>
  </si>
  <si>
    <t>Note 7 [Pg. 139]</t>
  </si>
  <si>
    <t>P/L total investments, back out loans and advances due from banks and negative result on derivatives, and add in investment property</t>
  </si>
  <si>
    <t>Pg. 115</t>
  </si>
  <si>
    <t>Mapping Financial Statements - NN Dataset</t>
  </si>
  <si>
    <t>NN</t>
  </si>
  <si>
    <t>Note 12 (pg.275 &amp; 276)</t>
  </si>
  <si>
    <t>Note 13 (Pg. 213)</t>
  </si>
  <si>
    <t>No split of health and non-life</t>
  </si>
  <si>
    <t xml:space="preserve"> No split of health and non-life </t>
  </si>
  <si>
    <t>Note 12 (pg.276)</t>
  </si>
  <si>
    <t>Note 13 (Pg. 214 &amp; 215)</t>
  </si>
  <si>
    <t>Note 12 (pg.281)</t>
  </si>
  <si>
    <t>Note 13 (Pg. 221 &amp; 222)</t>
  </si>
  <si>
    <t>Note 12 (pg.280)</t>
  </si>
  <si>
    <t>Note 13 (Pg. 219 &amp; 220)</t>
  </si>
  <si>
    <t>Note 14 (pg.285)</t>
  </si>
  <si>
    <t>Note 15 (pg.224)</t>
  </si>
  <si>
    <t>Pg. 246</t>
  </si>
  <si>
    <t>Note 21 (pg.291)</t>
  </si>
  <si>
    <t>Note 22 [Pg. 292]</t>
  </si>
  <si>
    <t>Note 22 [Pg.232]</t>
  </si>
  <si>
    <t>This net of the premium experience adjustment agrees to Note 13 [Pg.214 &amp; 215]</t>
  </si>
  <si>
    <t>P&amp;L [Pg. 246]</t>
  </si>
  <si>
    <t>P&amp;L [Pg. 271] &amp; Note 22 [Pg.232]</t>
  </si>
  <si>
    <t>P&amp;L [Pg. 271]</t>
  </si>
  <si>
    <t>Note 23 (pg. 233)</t>
  </si>
  <si>
    <t>P&amp;L [Pg. 171]  + Note 22 [Pg. 232 &amp; 233]</t>
  </si>
  <si>
    <t xml:space="preserve"> Income statement Pg. 246 </t>
  </si>
  <si>
    <t xml:space="preserve"> Income statement  Pg. 173</t>
  </si>
  <si>
    <t>Pg. 293</t>
  </si>
  <si>
    <t xml:space="preserve"> Note 24 (pg.234) </t>
  </si>
  <si>
    <t xml:space="preserve"> Note 23 [Pg. 293] </t>
  </si>
  <si>
    <t xml:space="preserve"> Note 24 (pg.294) </t>
  </si>
  <si>
    <t xml:space="preserve"> Note 24 (pg.234, 235) + Note 25 (Pg. 236) for interest expense on derivatives </t>
  </si>
  <si>
    <t xml:space="preserve"> Note 24 (pg.234) - includes gain/(losses) on investments at fair value movement and the gain/(losses) on real estate </t>
  </si>
  <si>
    <t xml:space="preserve"> Note 23 (pg.293) </t>
  </si>
  <si>
    <t xml:space="preserve"> Note 25 (pg. 236) </t>
  </si>
  <si>
    <t xml:space="preserve"> P&amp;L [Pg. 246] </t>
  </si>
  <si>
    <t xml:space="preserve"> P&amp;L [Pg. 171] </t>
  </si>
  <si>
    <t>a) Liquid curve / VFA</t>
  </si>
  <si>
    <t>Note 12 [Pg. 275]</t>
  </si>
  <si>
    <t>Note 13 [Pg. 212]</t>
  </si>
  <si>
    <t>b) Iliquid curve / GMM</t>
  </si>
  <si>
    <t xml:space="preserve"> P&amp;L [Pg. 171] + Note 26 [Pg. 236] </t>
  </si>
  <si>
    <t xml:space="preserve"> P&amp;L [Pg. 171] + Note 27 [Pg. 237] </t>
  </si>
  <si>
    <t xml:space="preserve"> Note 23 Investment Result [Pg. 293] </t>
  </si>
  <si>
    <t xml:space="preserve"> P&amp;L [Pg. 171] ('Other' + 'Result on disposals of group companies') </t>
  </si>
  <si>
    <t>Note 12 [Pg. 276]</t>
  </si>
  <si>
    <t>Note 12 [Pg. 215]</t>
  </si>
  <si>
    <t xml:space="preserve">Difference of €3mil for 2023 </t>
  </si>
  <si>
    <t>Pg. 304 - Netherlands Life + Pg. 310 Japan Life+ Pg. 309 Insurance Europe (mostly Life)</t>
  </si>
  <si>
    <t>Note 12 [Pg. 279]</t>
  </si>
  <si>
    <t>Note 13 [Pg. 218]</t>
  </si>
  <si>
    <t xml:space="preserve">Bucketting changed 2023 to 2024 AR: last 2 buckets are  (5-9 years changed to 5-10 years). </t>
  </si>
  <si>
    <t>Note 12 [Pg. 276 &amp; 277]</t>
  </si>
  <si>
    <t>Note 13 [Pg. 215]</t>
  </si>
  <si>
    <t>Note 13 - IFRS 17.101 reconciliation (pg. 213)</t>
  </si>
  <si>
    <t>[pg. 181]</t>
  </si>
  <si>
    <t>65-75%</t>
  </si>
  <si>
    <t>60-70%</t>
  </si>
  <si>
    <t>Note 12 [Pg. 279-281]</t>
  </si>
  <si>
    <t>Note 12 [Pg. 220]</t>
  </si>
  <si>
    <t>Note 23 [Pg. 232]</t>
  </si>
  <si>
    <t>Totoal LC 2024 = 272</t>
  </si>
  <si>
    <t>Pg. 304, 308</t>
  </si>
  <si>
    <t>Pg. 304</t>
  </si>
  <si>
    <t>Pg. 280</t>
  </si>
  <si>
    <t>Assuming the IFIE and other relates to life</t>
  </si>
  <si>
    <t>pg 219</t>
  </si>
  <si>
    <t>Note 12 [Pg. 281]</t>
  </si>
  <si>
    <t>Note 13 [Pg. 222]</t>
  </si>
  <si>
    <t>Note 23 [Pg. 233]</t>
  </si>
  <si>
    <t>-</t>
  </si>
  <si>
    <t>Formula driven | Income statement</t>
  </si>
  <si>
    <t>Formula driven | Note 22 (pg. 292)</t>
  </si>
  <si>
    <t>Formula driven | Note 23 (pg. 233)</t>
  </si>
  <si>
    <t>Note 12 [Pg. 279 &amp; 280]</t>
  </si>
  <si>
    <t>Note 13 [Pg. 220]</t>
  </si>
  <si>
    <t>Note 28 [Pg. 303]</t>
  </si>
  <si>
    <t>Note 30 [Pg. 247]</t>
  </si>
  <si>
    <t>Note 13 [Pg. 221 &amp; 222]</t>
  </si>
  <si>
    <r>
      <t xml:space="preserve">Note 13 [Pg. 219 &amp; 220] - </t>
    </r>
    <r>
      <rPr>
        <b/>
        <i/>
        <sz val="10"/>
        <color rgb="FFFF0000"/>
        <rFont val="Arial"/>
        <family val="2"/>
      </rPr>
      <t>Please note</t>
    </r>
    <r>
      <rPr>
        <b/>
        <i/>
        <sz val="10"/>
        <color rgb="FF0070C0"/>
        <rFont val="Arial"/>
        <family val="2"/>
      </rPr>
      <t>:</t>
    </r>
    <r>
      <rPr>
        <i/>
        <sz val="10"/>
        <color rgb="FF0070C0"/>
        <rFont val="Arial"/>
        <family val="2"/>
      </rPr>
      <t xml:space="preserve"> for 2022, the figure suggested in the FY is 1215</t>
    </r>
  </si>
  <si>
    <t>Note 49 [Pg. 366]</t>
  </si>
  <si>
    <t>Note 48 [Pg. 346]</t>
  </si>
  <si>
    <t>Note 50 [Pg. 293]</t>
  </si>
  <si>
    <t>Pg. 45</t>
  </si>
  <si>
    <t>Pg. 27 (listed as Operating capital generation)</t>
  </si>
  <si>
    <t>1. Fixed income</t>
  </si>
  <si>
    <t>Government bonds and loans</t>
  </si>
  <si>
    <t xml:space="preserve"> Note 48 [Pg. 348] </t>
  </si>
  <si>
    <t xml:space="preserve"> Note 50 [Pg. 296] </t>
  </si>
  <si>
    <t>Financial bonds and loans</t>
  </si>
  <si>
    <t>Corporate bonds and loans</t>
  </si>
  <si>
    <t>Mortgages</t>
  </si>
  <si>
    <t>Other retail loans</t>
  </si>
  <si>
    <t>2. Non-fixed income</t>
  </si>
  <si>
    <t>Common and preferred equity stock</t>
  </si>
  <si>
    <t>Private Equity</t>
  </si>
  <si>
    <t>Real Estate</t>
  </si>
  <si>
    <t>Mutual funds (money market funds excluded)</t>
  </si>
  <si>
    <t>Derivatives</t>
  </si>
  <si>
    <t xml:space="preserve"> Note 19 [Pg. 289] </t>
  </si>
  <si>
    <t xml:space="preserve"> Note 20 [Pg. 229] </t>
  </si>
  <si>
    <t>Money market instruments (money market funds included)</t>
  </si>
  <si>
    <t>Pg. 296 - "Figures may differ from those included in the consolidated IFRS balance sheet due to classification and valuation differences to reflect a risk management view"</t>
  </si>
  <si>
    <t>(7) BREAKDOWN OF INSURANCE LIABILITIES GEO</t>
  </si>
  <si>
    <t>Outside the Netherlands</t>
  </si>
  <si>
    <t xml:space="preserve"> Note 29 [Pg. 303] </t>
  </si>
  <si>
    <t xml:space="preserve"> Note 31 [Pg. 248] </t>
  </si>
  <si>
    <t>In the Netherlands</t>
  </si>
  <si>
    <t>(8) BREAKDOWN OF CSM CLOSING BALANCE GEO</t>
  </si>
  <si>
    <t>(i) Life Portfolio</t>
  </si>
  <si>
    <t xml:space="preserve"> i) Europe</t>
  </si>
  <si>
    <t>Note 29 [Pg. 308]</t>
  </si>
  <si>
    <t>Note 31 [Pg. 254]</t>
  </si>
  <si>
    <t>ii) Japan</t>
  </si>
  <si>
    <t>Note 29 [Pg. 310]</t>
  </si>
  <si>
    <t>Note 31 [Pg. 256]</t>
  </si>
  <si>
    <t>Note 29 [Pg. 304]</t>
  </si>
  <si>
    <t>Note 31 [Pg. 250]</t>
  </si>
  <si>
    <t>(ii) Non-Life Portfolio</t>
  </si>
  <si>
    <t>Note 29 [Pg. 306]</t>
  </si>
  <si>
    <t>Note 31 [Pg. 251]</t>
  </si>
  <si>
    <t>(9) BREAKDOWN OF LOSSES AND REVERSAL OF LOSSES GEO</t>
  </si>
  <si>
    <t>(i) Outside the Netherlands</t>
  </si>
  <si>
    <t>Onerous new business</t>
  </si>
  <si>
    <t>Note 29 [Pg. 308 &amp; 309]</t>
  </si>
  <si>
    <t>Changes in FCF</t>
  </si>
  <si>
    <t>(ii) In the Netherlands</t>
  </si>
  <si>
    <t xml:space="preserve"> i) insurance contracts initially recognised in the year</t>
  </si>
  <si>
    <t>Note 29 [Pg. 304 &amp; 306]</t>
  </si>
  <si>
    <t>Note 31 [Pg. 252 &amp;  254]</t>
  </si>
  <si>
    <t>ii) experience adjustments not adjusting the contractual service margin</t>
  </si>
  <si>
    <t xml:space="preserve"> i)  changes in estimates that do not adjust the contractual service margin</t>
  </si>
  <si>
    <t>ii) …</t>
  </si>
  <si>
    <t>(10) BREAKDOWN OF CSM OPENING BALANCE</t>
  </si>
  <si>
    <t>Note 31 [Pg. 252]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</si>
</sst>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  <numFmt numFmtId="166" formatCode="0.0%"/>
  </numFmts>
  <fonts count="10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2060"/>
      <name val="Arial"/>
      <family val="2"/>
    </font>
    <font>
      <b/>
      <sz val="8"/>
      <color rgb="FF000000"/>
      <name val="Arial"/>
      <family val="2"/>
    </font>
    <font>
      <b/>
      <sz val="18"/>
      <color rgb="FF0070C0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i/>
      <sz val="10"/>
      <color rgb="FF0070C0"/>
      <name val="Arial"/>
      <family val="2"/>
    </font>
    <font>
      <i/>
      <sz val="10"/>
      <color rgb="FF0070C0"/>
      <name val="Arial"/>
      <family val="2"/>
    </font>
    <font>
      <i/>
      <sz val="10"/>
      <color theme="1"/>
      <name val="Arial"/>
      <family val="2"/>
    </font>
    <font>
      <i/>
      <sz val="10"/>
      <color theme="1" tint="0.499984740745262"/>
      <name val="Arial"/>
      <family val="2"/>
    </font>
    <font>
      <i/>
      <sz val="11"/>
      <color theme="1" tint="0.499984740745262"/>
      <name val="Arial"/>
      <family val="2"/>
    </font>
    <font>
      <i/>
      <sz val="11"/>
      <color theme="1" tint="0.499984740745262"/>
      <name val="Arial"/>
    </font>
    <font>
      <i/>
      <sz val="10"/>
      <color rgb="FF00B050"/>
      <name val="Arial"/>
    </font>
    <font>
      <b/>
      <sz val="11"/>
      <color theme="1"/>
      <name val="Arial"/>
    </font>
    <font>
      <sz val="11"/>
      <color theme="9"/>
      <name val="Arial"/>
      <family val="2"/>
    </font>
    <font>
      <b/>
      <sz val="11"/>
      <color rgb="FFC00000"/>
      <name val="Arial"/>
      <family val="2"/>
    </font>
    <font>
      <b/>
      <i/>
      <sz val="10"/>
      <color rgb="FFC00000"/>
      <name val="Arial"/>
      <family val="2"/>
    </font>
    <font>
      <i/>
      <sz val="11"/>
      <color theme="4"/>
      <name val="Arial"/>
      <family val="2"/>
    </font>
    <font>
      <sz val="9"/>
      <color theme="1"/>
      <name val="Arial"/>
      <family val="2"/>
    </font>
    <font>
      <b/>
      <sz val="11"/>
      <color theme="4" tint="-0.249977111117893"/>
      <name val="Arial"/>
      <family val="2"/>
    </font>
    <font>
      <sz val="8"/>
      <color theme="1"/>
      <name val="Arial"/>
      <family val="2"/>
    </font>
    <font>
      <b/>
      <sz val="11"/>
      <color theme="4"/>
      <name val="Arial"/>
      <family val="2"/>
    </font>
    <font>
      <i/>
      <sz val="10"/>
      <name val="Arial"/>
      <family val="2"/>
    </font>
    <font>
      <i/>
      <sz val="10"/>
      <color rgb="FF00B050"/>
      <name val="Arial"/>
      <family val="2"/>
    </font>
    <font>
      <i/>
      <sz val="9"/>
      <color theme="1"/>
      <name val="Arial"/>
      <family val="2"/>
    </font>
    <font>
      <b/>
      <sz val="10"/>
      <color rgb="FFC00000"/>
      <name val="Calibri"/>
      <family val="2"/>
    </font>
    <font>
      <i/>
      <sz val="10"/>
      <color rgb="FFFF0000"/>
      <name val="Arial"/>
      <family val="2"/>
    </font>
    <font>
      <i/>
      <sz val="10"/>
      <color theme="4"/>
      <name val="Arial"/>
      <family val="2"/>
    </font>
    <font>
      <b/>
      <i/>
      <sz val="10"/>
      <color theme="1" tint="0.499984740745262"/>
      <name val="Arial"/>
      <family val="2"/>
    </font>
    <font>
      <sz val="11"/>
      <color theme="4"/>
      <name val="Arial"/>
      <family val="2"/>
    </font>
    <font>
      <sz val="11"/>
      <color rgb="FFFF0000"/>
      <name val="Arial"/>
      <family val="2"/>
    </font>
    <font>
      <sz val="11"/>
      <color rgb="FF4472C4"/>
      <name val="Arial"/>
      <family val="2"/>
    </font>
    <font>
      <sz val="11"/>
      <color rgb="FF0070C0"/>
      <name val="Arial"/>
      <family val="2"/>
    </font>
    <font>
      <sz val="9"/>
      <color theme="1"/>
      <name val="Arial"/>
    </font>
    <font>
      <i/>
      <sz val="10"/>
      <name val="Arial"/>
    </font>
    <font>
      <b/>
      <sz val="11"/>
      <color theme="1" tint="0.34998626667073579"/>
      <name val="Arial"/>
      <family val="2"/>
    </font>
    <font>
      <sz val="11"/>
      <color theme="1" tint="0.34998626667073579"/>
      <name val="Arial"/>
      <family val="2"/>
    </font>
    <font>
      <b/>
      <sz val="11"/>
      <color theme="1" tint="0.499984740745262"/>
      <name val="Arial"/>
      <family val="2"/>
    </font>
    <font>
      <i/>
      <sz val="10"/>
      <color rgb="FF808080"/>
      <name val="Arial"/>
      <family val="2"/>
    </font>
    <font>
      <sz val="11"/>
      <color theme="1" tint="0.499984740745262"/>
      <name val="Arial"/>
      <family val="2"/>
    </font>
    <font>
      <i/>
      <sz val="10"/>
      <color rgb="FFC00000"/>
      <name val="Arial"/>
      <family val="2"/>
    </font>
    <font>
      <i/>
      <sz val="10"/>
      <color theme="0" tint="-0.499984740745262"/>
      <name val="Arial"/>
      <family val="2"/>
    </font>
    <font>
      <sz val="9"/>
      <color rgb="FF375623"/>
      <name val="Arial"/>
      <family val="2"/>
    </font>
    <font>
      <sz val="9"/>
      <color rgb="FF833C0C"/>
      <name val="Arial"/>
      <family val="2"/>
    </font>
    <font>
      <sz val="11"/>
      <color theme="4" tint="-0.249977111117893"/>
      <name val="Arial"/>
      <family val="2"/>
    </font>
    <font>
      <sz val="10"/>
      <color rgb="FF0070C0"/>
      <name val="Arial"/>
      <family val="2"/>
    </font>
    <font>
      <b/>
      <sz val="11"/>
      <color rgb="FFFF0000"/>
      <name val="Arial"/>
      <family val="2"/>
    </font>
    <font>
      <b/>
      <sz val="10"/>
      <color theme="1" tint="0.34998626667073579"/>
      <name val="Arial"/>
      <family val="2"/>
    </font>
    <font>
      <sz val="10"/>
      <color theme="1" tint="0.34998626667073579"/>
      <name val="Arial"/>
      <family val="2"/>
    </font>
    <font>
      <sz val="10"/>
      <color theme="1" tint="0.499984740745262"/>
      <name val="Arial"/>
      <family val="2"/>
    </font>
    <font>
      <b/>
      <sz val="10"/>
      <color theme="1" tint="0.499984740745262"/>
      <name val="Arial"/>
      <family val="2"/>
    </font>
    <font>
      <sz val="11"/>
      <color theme="4"/>
      <name val="Arial"/>
    </font>
    <font>
      <sz val="11"/>
      <color theme="1"/>
      <name val="Arial"/>
    </font>
    <font>
      <i/>
      <sz val="10"/>
      <color rgb="FF0070C0"/>
      <name val="Arial"/>
    </font>
    <font>
      <i/>
      <sz val="11"/>
      <color theme="8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u/>
      <sz val="11"/>
      <color theme="4"/>
      <name val="Arial"/>
      <family val="2"/>
    </font>
    <font>
      <b/>
      <sz val="11"/>
      <color rgb="FF4472C4"/>
      <name val="Arial"/>
      <family val="2"/>
    </font>
    <font>
      <sz val="9"/>
      <color indexed="81"/>
      <name val="Tahoma"/>
      <charset val="1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color rgb="FF0070C0"/>
      <name val="Calibri"/>
      <family val="2"/>
    </font>
    <font>
      <b/>
      <i/>
      <sz val="10"/>
      <color rgb="FFC00000"/>
      <name val="Arial"/>
    </font>
    <font>
      <i/>
      <sz val="10"/>
      <color theme="9"/>
      <name val="Arial"/>
      <family val="2"/>
    </font>
    <font>
      <b/>
      <i/>
      <sz val="10"/>
      <color rgb="FFFF0000"/>
      <name val="Arial"/>
      <family val="2"/>
    </font>
    <font>
      <i/>
      <sz val="10"/>
      <color rgb="FFC00000"/>
      <name val="Arial"/>
    </font>
    <font>
      <b/>
      <sz val="10"/>
      <color rgb="FFC00000"/>
      <name val="Arial"/>
      <family val="2"/>
    </font>
    <font>
      <b/>
      <sz val="10"/>
      <color theme="1" tint="0.499984740745262"/>
      <name val="Arial"/>
    </font>
    <font>
      <sz val="11"/>
      <color rgb="FF4472C4"/>
      <name val="Arial"/>
    </font>
    <font>
      <u/>
      <sz val="11"/>
      <color theme="4"/>
      <name val="Arial"/>
      <family val="2"/>
    </font>
    <font>
      <b/>
      <i/>
      <sz val="10"/>
      <color rgb="FF00B050"/>
      <name val="Arial"/>
      <family val="2"/>
    </font>
    <font>
      <b/>
      <i/>
      <sz val="10"/>
      <color theme="9"/>
      <name val="Arial"/>
      <family val="2"/>
    </font>
    <font>
      <b/>
      <sz val="11"/>
      <color theme="4"/>
      <name val="Arial"/>
    </font>
    <font>
      <b/>
      <i/>
      <sz val="10"/>
      <color rgb="FF0070C0"/>
      <name val="Arial"/>
    </font>
    <font>
      <b/>
      <sz val="11"/>
      <color indexed="8"/>
      <name val="Arial"/>
    </font>
    <font>
      <i/>
      <sz val="10"/>
      <color theme="1" tint="0.499984740745262"/>
      <name val="Arial"/>
    </font>
    <font>
      <sz val="11"/>
      <color theme="0"/>
      <name val="Arial"/>
    </font>
    <font>
      <sz val="11"/>
      <name val="Arial"/>
    </font>
    <font>
      <b/>
      <sz val="11"/>
      <name val="Arial"/>
      <family val="2"/>
    </font>
    <font>
      <i/>
      <sz val="10"/>
      <color theme="1"/>
      <name val="Arial"/>
    </font>
    <font>
      <b/>
      <sz val="11"/>
      <color theme="4" tint="-0.249977111117893"/>
      <name val="Arial"/>
    </font>
    <font>
      <i/>
      <sz val="9"/>
      <color theme="4"/>
      <name val="Arial"/>
      <family val="2"/>
    </font>
    <font>
      <b/>
      <sz val="8"/>
      <color rgb="FF000000"/>
      <name val="Arial"/>
    </font>
    <font>
      <b/>
      <sz val="11"/>
      <color theme="0"/>
      <name val="Arial"/>
    </font>
    <font>
      <i/>
      <sz val="10"/>
      <color rgb="FF00B0F0"/>
      <name val="Arial"/>
    </font>
    <font>
      <i/>
      <sz val="10"/>
      <color rgb="FF00B0F0"/>
      <name val="Arial"/>
      <family val="2"/>
    </font>
    <font>
      <b/>
      <i/>
      <sz val="11"/>
      <color theme="1" tint="0.499984740745262"/>
      <name val="Arial"/>
    </font>
    <font>
      <b/>
      <i/>
      <sz val="11"/>
      <color theme="1" tint="0.499984740745262"/>
      <name val="Arial"/>
      <family val="2"/>
    </font>
    <font>
      <i/>
      <sz val="9"/>
      <color theme="1"/>
      <name val="Arial"/>
    </font>
    <font>
      <i/>
      <sz val="11"/>
      <color rgb="FF4472C4"/>
      <name val="Arial"/>
      <family val="2"/>
    </font>
    <font>
      <b/>
      <i/>
      <sz val="11"/>
      <color rgb="FF4472C4"/>
      <name val="Arial"/>
      <family val="2"/>
    </font>
    <font>
      <b/>
      <sz val="11"/>
      <color rgb="FF305496"/>
      <name val="Arial"/>
      <family val="2"/>
    </font>
    <font>
      <sz val="11"/>
      <color theme="1" tint="0.34998626667073579"/>
      <name val="Arial"/>
    </font>
    <font>
      <b/>
      <sz val="11"/>
      <color theme="1" tint="0.499984740745262"/>
      <name val="Arial"/>
    </font>
    <font>
      <sz val="11"/>
      <color theme="1" tint="0.499984740745262"/>
      <name val="Arial"/>
    </font>
    <font>
      <b/>
      <sz val="11"/>
      <color rgb="FFFF0000"/>
      <name val="Arial"/>
    </font>
    <font>
      <sz val="11"/>
      <color theme="4" tint="-0.249977111117893"/>
      <name val="Arial"/>
    </font>
    <font>
      <sz val="10"/>
      <color theme="1" tint="0.34998626667073579"/>
      <name val="Arial"/>
    </font>
    <font>
      <sz val="10"/>
      <color theme="1" tint="0.499984740745262"/>
      <name val="Arial"/>
    </font>
    <font>
      <sz val="11"/>
      <color rgb="FF0070C0"/>
      <name val="Arial"/>
    </font>
  </fonts>
  <fills count="22">
    <fill>
      <patternFill patternType="none"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6DCE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thin">
        <color rgb="FF00338D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338D"/>
      </bottom>
      <diagonal/>
    </border>
    <border>
      <left style="thin">
        <color auto="1"/>
      </left>
      <right/>
      <top/>
      <bottom style="thin">
        <color rgb="FF00338D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theme="0" tint="-0.14999847407452621"/>
      </top>
      <bottom style="double">
        <color theme="0" tint="-0.14999847407452621"/>
      </bottom>
      <diagonal/>
    </border>
    <border>
      <left/>
      <right/>
      <top style="thin">
        <color theme="0" tint="-0.14999847407452621"/>
      </top>
      <bottom style="double">
        <color theme="0" tint="-0.14999847407452621"/>
      </bottom>
      <diagonal/>
    </border>
    <border>
      <left/>
      <right style="thin">
        <color indexed="64"/>
      </right>
      <top/>
      <bottom style="double">
        <color theme="0" tint="-0.14999847407452621"/>
      </bottom>
      <diagonal/>
    </border>
    <border>
      <left style="thin">
        <color indexed="64"/>
      </left>
      <right/>
      <top style="double">
        <color theme="0" tint="-0.14999847407452621"/>
      </top>
      <bottom/>
      <diagonal/>
    </border>
    <border>
      <left/>
      <right/>
      <top style="double">
        <color theme="0" tint="-0.14999847407452621"/>
      </top>
      <bottom/>
      <diagonal/>
    </border>
    <border>
      <left/>
      <right style="thin">
        <color indexed="64"/>
      </right>
      <top style="double">
        <color theme="0" tint="-0.149998474074526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indexed="64"/>
      </right>
      <top style="thin">
        <color theme="0" tint="-0.14999847407452621"/>
      </top>
      <bottom/>
      <diagonal/>
    </border>
    <border>
      <left/>
      <right style="thin">
        <color indexed="64"/>
      </right>
      <top style="thin">
        <color theme="0" tint="-0.14999847407452621"/>
      </top>
      <bottom style="double">
        <color theme="0" tint="-0.14999847407452621"/>
      </bottom>
      <diagonal/>
    </border>
    <border>
      <left style="thin">
        <color indexed="64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indexed="64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double">
        <color theme="0" tint="-0.14999847407452621"/>
      </bottom>
      <diagonal/>
    </border>
    <border>
      <left/>
      <right/>
      <top/>
      <bottom style="double">
        <color theme="0" tint="-0.14999847407452621"/>
      </bottom>
      <diagonal/>
    </border>
    <border>
      <left style="thin">
        <color indexed="64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indexed="64"/>
      </right>
      <top style="thin">
        <color theme="0" tint="-0.14996795556505021"/>
      </top>
      <bottom/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rgb="FF00338D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09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3" borderId="0" xfId="0" applyFont="1" applyFill="1" applyAlignment="1">
      <alignment horizontal="left" vertical="center"/>
    </xf>
    <xf numFmtId="3" fontId="5" fillId="3" borderId="2" xfId="0" applyNumberFormat="1" applyFont="1" applyFill="1" applyBorder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3" fontId="5" fillId="3" borderId="4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2" borderId="0" xfId="0" applyFont="1" applyFill="1"/>
    <xf numFmtId="0" fontId="7" fillId="4" borderId="0" xfId="0" applyFont="1" applyFill="1"/>
    <xf numFmtId="0" fontId="7" fillId="4" borderId="2" xfId="0" applyFont="1" applyFill="1" applyBorder="1"/>
    <xf numFmtId="3" fontId="7" fillId="4" borderId="2" xfId="0" applyNumberFormat="1" applyFont="1" applyFill="1" applyBorder="1" applyAlignment="1">
      <alignment horizontal="center"/>
    </xf>
    <xf numFmtId="3" fontId="7" fillId="4" borderId="0" xfId="0" applyNumberFormat="1" applyFont="1" applyFill="1" applyAlignment="1">
      <alignment horizontal="center"/>
    </xf>
    <xf numFmtId="3" fontId="7" fillId="4" borderId="5" xfId="0" applyNumberFormat="1" applyFont="1" applyFill="1" applyBorder="1" applyAlignment="1">
      <alignment horizontal="center"/>
    </xf>
    <xf numFmtId="0" fontId="7" fillId="4" borderId="5" xfId="0" applyFont="1" applyFill="1" applyBorder="1" applyAlignment="1">
      <alignment horizontal="left" indent="1"/>
    </xf>
    <xf numFmtId="0" fontId="8" fillId="2" borderId="6" xfId="0" applyFont="1" applyFill="1" applyBorder="1"/>
    <xf numFmtId="3" fontId="8" fillId="5" borderId="7" xfId="0" applyNumberFormat="1" applyFont="1" applyFill="1" applyBorder="1" applyAlignment="1">
      <alignment horizontal="centerContinuous"/>
    </xf>
    <xf numFmtId="3" fontId="8" fillId="5" borderId="8" xfId="0" applyNumberFormat="1" applyFont="1" applyFill="1" applyBorder="1" applyAlignment="1">
      <alignment horizontal="centerContinuous"/>
    </xf>
    <xf numFmtId="3" fontId="8" fillId="5" borderId="9" xfId="0" applyNumberFormat="1" applyFont="1" applyFill="1" applyBorder="1" applyAlignment="1">
      <alignment horizontal="centerContinuous"/>
    </xf>
    <xf numFmtId="0" fontId="8" fillId="5" borderId="10" xfId="0" applyFont="1" applyFill="1" applyBorder="1" applyAlignment="1">
      <alignment horizontal="left" vertical="distributed" indent="1"/>
    </xf>
    <xf numFmtId="0" fontId="8" fillId="5" borderId="10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"/>
    </xf>
    <xf numFmtId="0" fontId="8" fillId="6" borderId="0" xfId="0" applyFont="1" applyFill="1"/>
    <xf numFmtId="0" fontId="9" fillId="6" borderId="0" xfId="0" applyFont="1" applyFill="1"/>
    <xf numFmtId="0" fontId="9" fillId="6" borderId="2" xfId="0" applyFont="1" applyFill="1" applyBorder="1"/>
    <xf numFmtId="3" fontId="9" fillId="6" borderId="2" xfId="0" applyNumberFormat="1" applyFont="1" applyFill="1" applyBorder="1" applyAlignment="1">
      <alignment horizontal="center"/>
    </xf>
    <xf numFmtId="3" fontId="9" fillId="6" borderId="0" xfId="0" applyNumberFormat="1" applyFont="1" applyFill="1" applyAlignment="1">
      <alignment horizontal="center"/>
    </xf>
    <xf numFmtId="3" fontId="9" fillId="6" borderId="5" xfId="0" applyNumberFormat="1" applyFont="1" applyFill="1" applyBorder="1" applyAlignment="1">
      <alignment horizontal="center"/>
    </xf>
    <xf numFmtId="0" fontId="10" fillId="6" borderId="5" xfId="0" applyFont="1" applyFill="1" applyBorder="1" applyAlignment="1">
      <alignment horizontal="left" indent="1"/>
    </xf>
    <xf numFmtId="0" fontId="11" fillId="4" borderId="0" xfId="0" applyFont="1" applyFill="1"/>
    <xf numFmtId="0" fontId="7" fillId="0" borderId="2" xfId="0" applyFont="1" applyBorder="1"/>
    <xf numFmtId="3" fontId="11" fillId="0" borderId="2" xfId="0" applyNumberFormat="1" applyFont="1" applyBorder="1" applyAlignment="1">
      <alignment horizontal="center"/>
    </xf>
    <xf numFmtId="3" fontId="11" fillId="0" borderId="0" xfId="0" applyNumberFormat="1" applyFont="1" applyAlignment="1">
      <alignment horizontal="center"/>
    </xf>
    <xf numFmtId="3" fontId="11" fillId="0" borderId="5" xfId="1" applyNumberFormat="1" applyFont="1" applyBorder="1" applyAlignment="1">
      <alignment horizontal="center"/>
    </xf>
    <xf numFmtId="164" fontId="12" fillId="7" borderId="5" xfId="1" applyNumberFormat="1" applyFont="1" applyFill="1" applyBorder="1" applyAlignment="1">
      <alignment horizontal="left"/>
    </xf>
    <xf numFmtId="9" fontId="3" fillId="0" borderId="0" xfId="2" applyFont="1"/>
    <xf numFmtId="0" fontId="11" fillId="2" borderId="0" xfId="0" applyFont="1" applyFill="1"/>
    <xf numFmtId="3" fontId="7" fillId="0" borderId="2" xfId="1" applyNumberFormat="1" applyFont="1" applyBorder="1" applyAlignment="1">
      <alignment horizontal="center"/>
    </xf>
    <xf numFmtId="3" fontId="7" fillId="0" borderId="0" xfId="1" applyNumberFormat="1" applyFont="1" applyBorder="1" applyAlignment="1">
      <alignment horizontal="center"/>
    </xf>
    <xf numFmtId="3" fontId="7" fillId="0" borderId="5" xfId="1" applyNumberFormat="1" applyFont="1" applyBorder="1" applyAlignment="1">
      <alignment horizontal="center"/>
    </xf>
    <xf numFmtId="164" fontId="13" fillId="0" borderId="5" xfId="1" applyNumberFormat="1" applyFont="1" applyBorder="1" applyAlignment="1">
      <alignment horizontal="left"/>
    </xf>
    <xf numFmtId="0" fontId="3" fillId="0" borderId="0" xfId="0" applyFont="1"/>
    <xf numFmtId="3" fontId="11" fillId="0" borderId="2" xfId="1" applyNumberFormat="1" applyFont="1" applyBorder="1" applyAlignment="1">
      <alignment horizontal="center"/>
    </xf>
    <xf numFmtId="3" fontId="11" fillId="0" borderId="0" xfId="1" applyNumberFormat="1" applyFont="1" applyBorder="1" applyAlignment="1">
      <alignment horizontal="center"/>
    </xf>
    <xf numFmtId="0" fontId="14" fillId="0" borderId="2" xfId="0" applyFont="1" applyBorder="1"/>
    <xf numFmtId="164" fontId="15" fillId="0" borderId="5" xfId="1" applyNumberFormat="1" applyFont="1" applyBorder="1" applyAlignment="1">
      <alignment horizontal="left"/>
    </xf>
    <xf numFmtId="0" fontId="11" fillId="0" borderId="2" xfId="0" applyFont="1" applyBorder="1"/>
    <xf numFmtId="3" fontId="11" fillId="0" borderId="13" xfId="1" applyNumberFormat="1" applyFont="1" applyBorder="1" applyAlignment="1">
      <alignment horizontal="center"/>
    </xf>
    <xf numFmtId="164" fontId="12" fillId="0" borderId="5" xfId="1" applyNumberFormat="1" applyFont="1" applyBorder="1" applyAlignment="1">
      <alignment horizontal="left"/>
    </xf>
    <xf numFmtId="164" fontId="12" fillId="0" borderId="5" xfId="1" applyNumberFormat="1" applyFont="1" applyFill="1" applyBorder="1" applyAlignment="1">
      <alignment horizontal="left"/>
    </xf>
    <xf numFmtId="0" fontId="16" fillId="0" borderId="2" xfId="0" applyFont="1" applyBorder="1" applyAlignment="1">
      <alignment horizontal="left" indent="1"/>
    </xf>
    <xf numFmtId="3" fontId="16" fillId="0" borderId="2" xfId="0" applyNumberFormat="1" applyFont="1" applyBorder="1" applyAlignment="1">
      <alignment horizontal="center"/>
    </xf>
    <xf numFmtId="3" fontId="17" fillId="0" borderId="0" xfId="0" applyNumberFormat="1" applyFont="1" applyAlignment="1">
      <alignment horizontal="center"/>
    </xf>
    <xf numFmtId="3" fontId="17" fillId="0" borderId="13" xfId="0" applyNumberFormat="1" applyFont="1" applyBorder="1" applyAlignment="1">
      <alignment horizontal="center"/>
    </xf>
    <xf numFmtId="0" fontId="18" fillId="0" borderId="5" xfId="0" applyFont="1" applyBorder="1"/>
    <xf numFmtId="3" fontId="16" fillId="0" borderId="2" xfId="1" applyNumberFormat="1" applyFont="1" applyBorder="1" applyAlignment="1">
      <alignment horizontal="center"/>
    </xf>
    <xf numFmtId="3" fontId="19" fillId="0" borderId="0" xfId="1" applyNumberFormat="1" applyFont="1" applyBorder="1" applyAlignment="1">
      <alignment horizontal="center"/>
    </xf>
    <xf numFmtId="3" fontId="19" fillId="0" borderId="13" xfId="1" applyNumberFormat="1" applyFont="1" applyBorder="1" applyAlignment="1">
      <alignment horizontal="center"/>
    </xf>
    <xf numFmtId="3" fontId="17" fillId="0" borderId="0" xfId="1" applyNumberFormat="1" applyFont="1" applyBorder="1" applyAlignment="1">
      <alignment horizontal="center"/>
    </xf>
    <xf numFmtId="3" fontId="17" fillId="0" borderId="13" xfId="1" applyNumberFormat="1" applyFont="1" applyBorder="1" applyAlignment="1">
      <alignment horizontal="center"/>
    </xf>
    <xf numFmtId="3" fontId="20" fillId="0" borderId="2" xfId="1" applyNumberFormat="1" applyFont="1" applyBorder="1" applyAlignment="1">
      <alignment horizontal="center"/>
    </xf>
    <xf numFmtId="3" fontId="20" fillId="0" borderId="0" xfId="1" applyNumberFormat="1" applyFont="1" applyBorder="1" applyAlignment="1">
      <alignment horizontal="center"/>
    </xf>
    <xf numFmtId="3" fontId="21" fillId="0" borderId="13" xfId="1" applyNumberFormat="1" applyFont="1" applyBorder="1" applyAlignment="1">
      <alignment horizontal="center"/>
    </xf>
    <xf numFmtId="164" fontId="22" fillId="0" borderId="5" xfId="1" applyNumberFormat="1" applyFont="1" applyBorder="1" applyAlignment="1">
      <alignment horizontal="left"/>
    </xf>
    <xf numFmtId="3" fontId="11" fillId="0" borderId="14" xfId="1" applyNumberFormat="1" applyFont="1" applyBorder="1" applyAlignment="1">
      <alignment horizontal="center"/>
    </xf>
    <xf numFmtId="3" fontId="11" fillId="0" borderId="15" xfId="1" applyNumberFormat="1" applyFont="1" applyBorder="1" applyAlignment="1">
      <alignment horizontal="center"/>
    </xf>
    <xf numFmtId="3" fontId="11" fillId="0" borderId="16" xfId="1" applyNumberFormat="1" applyFont="1" applyBorder="1" applyAlignment="1">
      <alignment horizontal="left" indent="1"/>
    </xf>
    <xf numFmtId="0" fontId="23" fillId="0" borderId="2" xfId="0" applyFont="1" applyBorder="1" applyAlignment="1">
      <alignment horizontal="right"/>
    </xf>
    <xf numFmtId="3" fontId="24" fillId="0" borderId="17" xfId="0" applyNumberFormat="1" applyFont="1" applyBorder="1" applyAlignment="1">
      <alignment horizontal="center"/>
    </xf>
    <xf numFmtId="3" fontId="24" fillId="0" borderId="18" xfId="0" applyNumberFormat="1" applyFont="1" applyBorder="1" applyAlignment="1">
      <alignment horizontal="center"/>
    </xf>
    <xf numFmtId="3" fontId="24" fillId="0" borderId="19" xfId="0" applyNumberFormat="1" applyFont="1" applyBorder="1" applyAlignment="1">
      <alignment horizontal="center"/>
    </xf>
    <xf numFmtId="164" fontId="22" fillId="7" borderId="5" xfId="1" applyNumberFormat="1" applyFont="1" applyFill="1" applyBorder="1" applyAlignment="1">
      <alignment horizontal="left"/>
    </xf>
    <xf numFmtId="3" fontId="11" fillId="0" borderId="2" xfId="0" applyNumberFormat="1" applyFont="1" applyBorder="1"/>
    <xf numFmtId="3" fontId="11" fillId="0" borderId="0" xfId="0" applyNumberFormat="1" applyFont="1"/>
    <xf numFmtId="3" fontId="11" fillId="0" borderId="5" xfId="0" applyNumberFormat="1" applyFont="1" applyBorder="1"/>
    <xf numFmtId="3" fontId="7" fillId="0" borderId="2" xfId="0" applyNumberFormat="1" applyFont="1" applyBorder="1"/>
    <xf numFmtId="3" fontId="7" fillId="0" borderId="0" xfId="0" applyNumberFormat="1" applyFont="1"/>
    <xf numFmtId="3" fontId="7" fillId="0" borderId="5" xfId="0" applyNumberFormat="1" applyFont="1" applyBorder="1"/>
    <xf numFmtId="3" fontId="16" fillId="0" borderId="2" xfId="1" applyNumberFormat="1" applyFont="1" applyBorder="1" applyAlignment="1">
      <alignment horizontal="right"/>
    </xf>
    <xf numFmtId="3" fontId="16" fillId="0" borderId="0" xfId="1" applyNumberFormat="1" applyFont="1" applyBorder="1" applyAlignment="1">
      <alignment horizontal="right"/>
    </xf>
    <xf numFmtId="3" fontId="16" fillId="0" borderId="5" xfId="1" applyNumberFormat="1" applyFont="1" applyBorder="1" applyAlignment="1">
      <alignment horizontal="right"/>
    </xf>
    <xf numFmtId="3" fontId="24" fillId="0" borderId="2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3" fontId="24" fillId="0" borderId="5" xfId="0" applyNumberFormat="1" applyFont="1" applyBorder="1" applyAlignment="1">
      <alignment horizontal="center"/>
    </xf>
    <xf numFmtId="10" fontId="7" fillId="4" borderId="0" xfId="0" applyNumberFormat="1" applyFont="1" applyFill="1"/>
    <xf numFmtId="0" fontId="13" fillId="0" borderId="5" xfId="0" applyFont="1" applyBorder="1"/>
    <xf numFmtId="3" fontId="7" fillId="0" borderId="2" xfId="0" applyNumberFormat="1" applyFont="1" applyBorder="1" applyAlignment="1">
      <alignment horizontal="right"/>
    </xf>
    <xf numFmtId="3" fontId="7" fillId="0" borderId="0" xfId="0" applyNumberFormat="1" applyFont="1" applyAlignment="1">
      <alignment horizontal="right"/>
    </xf>
    <xf numFmtId="3" fontId="7" fillId="0" borderId="5" xfId="0" applyNumberFormat="1" applyFont="1" applyBorder="1" applyAlignment="1">
      <alignment horizontal="right"/>
    </xf>
    <xf numFmtId="3" fontId="7" fillId="0" borderId="2" xfId="0" applyNumberFormat="1" applyFont="1" applyBorder="1" applyAlignment="1">
      <alignment horizontal="right" indent="1"/>
    </xf>
    <xf numFmtId="3" fontId="7" fillId="0" borderId="0" xfId="0" applyNumberFormat="1" applyFont="1" applyAlignment="1">
      <alignment horizontal="right" indent="1"/>
    </xf>
    <xf numFmtId="3" fontId="7" fillId="0" borderId="5" xfId="0" applyNumberFormat="1" applyFont="1" applyBorder="1" applyAlignment="1">
      <alignment horizontal="right" indent="1"/>
    </xf>
    <xf numFmtId="3" fontId="7" fillId="0" borderId="5" xfId="1" applyNumberFormat="1" applyFont="1" applyFill="1" applyBorder="1" applyAlignment="1">
      <alignment horizontal="center"/>
    </xf>
    <xf numFmtId="3" fontId="11" fillId="8" borderId="2" xfId="1" applyNumberFormat="1" applyFont="1" applyFill="1" applyBorder="1" applyAlignment="1">
      <alignment horizontal="center"/>
    </xf>
    <xf numFmtId="3" fontId="11" fillId="8" borderId="0" xfId="1" applyNumberFormat="1" applyFont="1" applyFill="1" applyBorder="1" applyAlignment="1">
      <alignment horizontal="center"/>
    </xf>
    <xf numFmtId="3" fontId="11" fillId="8" borderId="5" xfId="1" applyNumberFormat="1" applyFont="1" applyFill="1" applyBorder="1" applyAlignment="1">
      <alignment horizontal="center"/>
    </xf>
    <xf numFmtId="3" fontId="11" fillId="0" borderId="5" xfId="1" applyNumberFormat="1" applyFont="1" applyFill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3" fontId="7" fillId="0" borderId="0" xfId="0" applyNumberFormat="1" applyFont="1" applyAlignment="1">
      <alignment horizontal="center"/>
    </xf>
    <xf numFmtId="3" fontId="7" fillId="0" borderId="5" xfId="0" applyNumberFormat="1" applyFont="1" applyBorder="1" applyAlignment="1">
      <alignment horizontal="center"/>
    </xf>
    <xf numFmtId="0" fontId="10" fillId="0" borderId="5" xfId="0" applyFont="1" applyBorder="1" applyAlignment="1">
      <alignment horizontal="left" indent="1"/>
    </xf>
    <xf numFmtId="0" fontId="8" fillId="5" borderId="0" xfId="0" applyFont="1" applyFill="1"/>
    <xf numFmtId="0" fontId="9" fillId="5" borderId="2" xfId="0" applyFont="1" applyFill="1" applyBorder="1"/>
    <xf numFmtId="3" fontId="9" fillId="5" borderId="2" xfId="0" applyNumberFormat="1" applyFont="1" applyFill="1" applyBorder="1" applyAlignment="1">
      <alignment horizontal="center"/>
    </xf>
    <xf numFmtId="3" fontId="9" fillId="5" borderId="0" xfId="0" applyNumberFormat="1" applyFont="1" applyFill="1" applyAlignment="1">
      <alignment horizontal="center"/>
    </xf>
    <xf numFmtId="3" fontId="9" fillId="5" borderId="5" xfId="0" applyNumberFormat="1" applyFont="1" applyFill="1" applyBorder="1" applyAlignment="1">
      <alignment horizontal="center"/>
    </xf>
    <xf numFmtId="0" fontId="10" fillId="5" borderId="5" xfId="0" applyFont="1" applyFill="1" applyBorder="1" applyAlignment="1">
      <alignment horizontal="left" indent="1"/>
    </xf>
    <xf numFmtId="0" fontId="25" fillId="9" borderId="20" xfId="0" applyFont="1" applyFill="1" applyBorder="1"/>
    <xf numFmtId="3" fontId="25" fillId="9" borderId="20" xfId="0" applyNumberFormat="1" applyFont="1" applyFill="1" applyBorder="1" applyAlignment="1">
      <alignment horizontal="center"/>
    </xf>
    <xf numFmtId="3" fontId="25" fillId="9" borderId="21" xfId="0" applyNumberFormat="1" applyFont="1" applyFill="1" applyBorder="1" applyAlignment="1">
      <alignment horizontal="center"/>
    </xf>
    <xf numFmtId="3" fontId="25" fillId="9" borderId="22" xfId="0" applyNumberFormat="1" applyFont="1" applyFill="1" applyBorder="1" applyAlignment="1">
      <alignment horizontal="center"/>
    </xf>
    <xf numFmtId="164" fontId="12" fillId="9" borderId="22" xfId="0" applyNumberFormat="1" applyFont="1" applyFill="1" applyBorder="1" applyAlignment="1">
      <alignment horizontal="left"/>
    </xf>
    <xf numFmtId="10" fontId="26" fillId="4" borderId="0" xfId="2" applyNumberFormat="1" applyFont="1" applyFill="1"/>
    <xf numFmtId="0" fontId="27" fillId="0" borderId="2" xfId="0" applyFont="1" applyBorder="1" applyAlignment="1">
      <alignment horizontal="left" indent="1"/>
    </xf>
    <xf numFmtId="3" fontId="27" fillId="0" borderId="2" xfId="1" applyNumberFormat="1" applyFont="1" applyBorder="1" applyAlignment="1">
      <alignment horizontal="center"/>
    </xf>
    <xf numFmtId="3" fontId="27" fillId="0" borderId="0" xfId="1" applyNumberFormat="1" applyFont="1" applyBorder="1" applyAlignment="1">
      <alignment horizontal="center"/>
    </xf>
    <xf numFmtId="3" fontId="27" fillId="0" borderId="5" xfId="1" applyNumberFormat="1" applyFont="1" applyBorder="1" applyAlignment="1">
      <alignment horizontal="center"/>
    </xf>
    <xf numFmtId="164" fontId="28" fillId="7" borderId="5" xfId="1" applyNumberFormat="1" applyFont="1" applyFill="1" applyBorder="1" applyAlignment="1">
      <alignment horizontal="left" indent="1"/>
    </xf>
    <xf numFmtId="0" fontId="14" fillId="8" borderId="2" xfId="0" applyFont="1" applyFill="1" applyBorder="1" applyAlignment="1">
      <alignment horizontal="left" indent="2"/>
    </xf>
    <xf numFmtId="3" fontId="14" fillId="8" borderId="2" xfId="1" applyNumberFormat="1" applyFont="1" applyFill="1" applyBorder="1" applyAlignment="1">
      <alignment horizontal="center"/>
    </xf>
    <xf numFmtId="3" fontId="14" fillId="8" borderId="0" xfId="1" applyNumberFormat="1" applyFont="1" applyFill="1" applyBorder="1" applyAlignment="1">
      <alignment horizontal="center"/>
    </xf>
    <xf numFmtId="3" fontId="14" fillId="8" borderId="5" xfId="1" applyNumberFormat="1" applyFont="1" applyFill="1" applyBorder="1" applyAlignment="1">
      <alignment horizontal="center"/>
    </xf>
    <xf numFmtId="164" fontId="13" fillId="0" borderId="5" xfId="1" applyNumberFormat="1" applyFont="1" applyFill="1" applyBorder="1" applyAlignment="1">
      <alignment horizontal="left"/>
    </xf>
    <xf numFmtId="0" fontId="28" fillId="8" borderId="2" xfId="0" applyFont="1" applyFill="1" applyBorder="1" applyAlignment="1">
      <alignment horizontal="left" indent="2"/>
    </xf>
    <xf numFmtId="164" fontId="0" fillId="0" borderId="0" xfId="0" applyNumberFormat="1"/>
    <xf numFmtId="164" fontId="29" fillId="0" borderId="5" xfId="1" applyNumberFormat="1" applyFont="1" applyBorder="1" applyAlignment="1">
      <alignment horizontal="left"/>
    </xf>
    <xf numFmtId="164" fontId="29" fillId="0" borderId="5" xfId="1" applyNumberFormat="1" applyFont="1" applyFill="1" applyBorder="1" applyAlignment="1">
      <alignment horizontal="left"/>
    </xf>
    <xf numFmtId="0" fontId="0" fillId="0" borderId="0" xfId="0" quotePrefix="1"/>
    <xf numFmtId="164" fontId="11" fillId="4" borderId="0" xfId="0" applyNumberFormat="1" applyFont="1" applyFill="1"/>
    <xf numFmtId="0" fontId="30" fillId="0" borderId="2" xfId="0" applyFont="1" applyBorder="1" applyAlignment="1">
      <alignment horizontal="left" indent="3"/>
    </xf>
    <xf numFmtId="3" fontId="14" fillId="4" borderId="2" xfId="1" applyNumberFormat="1" applyFont="1" applyFill="1" applyBorder="1" applyAlignment="1">
      <alignment horizontal="center"/>
    </xf>
    <xf numFmtId="3" fontId="14" fillId="4" borderId="0" xfId="1" applyNumberFormat="1" applyFont="1" applyFill="1" applyBorder="1" applyAlignment="1">
      <alignment horizontal="center"/>
    </xf>
    <xf numFmtId="3" fontId="14" fillId="4" borderId="5" xfId="1" applyNumberFormat="1" applyFont="1" applyFill="1" applyBorder="1" applyAlignment="1">
      <alignment horizontal="center"/>
    </xf>
    <xf numFmtId="164" fontId="22" fillId="0" borderId="5" xfId="1" applyNumberFormat="1" applyFont="1" applyFill="1" applyBorder="1" applyAlignment="1">
      <alignment horizontal="left"/>
    </xf>
    <xf numFmtId="164" fontId="13" fillId="4" borderId="5" xfId="1" applyNumberFormat="1" applyFont="1" applyFill="1" applyBorder="1" applyAlignment="1">
      <alignment horizontal="left"/>
    </xf>
    <xf numFmtId="164" fontId="22" fillId="4" borderId="5" xfId="1" applyNumberFormat="1" applyFont="1" applyFill="1" applyBorder="1" applyAlignment="1">
      <alignment horizontal="left"/>
    </xf>
    <xf numFmtId="0" fontId="32" fillId="8" borderId="2" xfId="0" applyFont="1" applyFill="1" applyBorder="1" applyAlignment="1">
      <alignment horizontal="left" indent="2"/>
    </xf>
    <xf numFmtId="3" fontId="14" fillId="8" borderId="0" xfId="1" applyNumberFormat="1" applyFont="1" applyFill="1" applyAlignment="1">
      <alignment horizontal="center"/>
    </xf>
    <xf numFmtId="0" fontId="33" fillId="0" borderId="2" xfId="0" applyFont="1" applyBorder="1" applyAlignment="1">
      <alignment horizontal="right" indent="1"/>
    </xf>
    <xf numFmtId="0" fontId="34" fillId="0" borderId="2" xfId="0" applyFont="1" applyBorder="1" applyAlignment="1">
      <alignment horizontal="right" indent="1"/>
    </xf>
    <xf numFmtId="0" fontId="7" fillId="0" borderId="2" xfId="0" applyFont="1" applyBorder="1" applyAlignment="1">
      <alignment horizontal="left" indent="3"/>
    </xf>
    <xf numFmtId="3" fontId="25" fillId="9" borderId="20" xfId="0" applyNumberFormat="1" applyFont="1" applyFill="1" applyBorder="1"/>
    <xf numFmtId="3" fontId="25" fillId="9" borderId="21" xfId="0" applyNumberFormat="1" applyFont="1" applyFill="1" applyBorder="1"/>
    <xf numFmtId="3" fontId="25" fillId="9" borderId="22" xfId="0" applyNumberFormat="1" applyFont="1" applyFill="1" applyBorder="1"/>
    <xf numFmtId="164" fontId="10" fillId="0" borderId="5" xfId="1" applyNumberFormat="1" applyFont="1" applyBorder="1" applyAlignment="1">
      <alignment horizontal="left" indent="1"/>
    </xf>
    <xf numFmtId="3" fontId="27" fillId="4" borderId="2" xfId="1" applyNumberFormat="1" applyFont="1" applyFill="1" applyBorder="1" applyAlignment="1">
      <alignment horizontal="center"/>
    </xf>
    <xf numFmtId="3" fontId="27" fillId="4" borderId="0" xfId="1" applyNumberFormat="1" applyFont="1" applyFill="1" applyBorder="1" applyAlignment="1">
      <alignment horizontal="center"/>
    </xf>
    <xf numFmtId="3" fontId="27" fillId="4" borderId="5" xfId="1" applyNumberFormat="1" applyFont="1" applyFill="1" applyBorder="1" applyAlignment="1">
      <alignment horizontal="center"/>
    </xf>
    <xf numFmtId="0" fontId="35" fillId="0" borderId="2" xfId="0" applyFont="1" applyBorder="1" applyAlignment="1">
      <alignment horizontal="left" indent="3"/>
    </xf>
    <xf numFmtId="0" fontId="35" fillId="0" borderId="2" xfId="0" applyFont="1" applyBorder="1" applyAlignment="1">
      <alignment horizontal="left" indent="5"/>
    </xf>
    <xf numFmtId="3" fontId="35" fillId="0" borderId="2" xfId="1" applyNumberFormat="1" applyFont="1" applyBorder="1" applyAlignment="1">
      <alignment horizontal="center"/>
    </xf>
    <xf numFmtId="3" fontId="35" fillId="0" borderId="0" xfId="1" applyNumberFormat="1" applyFont="1" applyBorder="1" applyAlignment="1">
      <alignment horizontal="center"/>
    </xf>
    <xf numFmtId="3" fontId="35" fillId="0" borderId="5" xfId="1" applyNumberFormat="1" applyFont="1" applyFill="1" applyBorder="1" applyAlignment="1">
      <alignment horizontal="center"/>
    </xf>
    <xf numFmtId="3" fontId="36" fillId="0" borderId="2" xfId="1" applyNumberFormat="1" applyFont="1" applyBorder="1" applyAlignment="1">
      <alignment horizontal="center"/>
    </xf>
    <xf numFmtId="3" fontId="36" fillId="0" borderId="0" xfId="1" applyNumberFormat="1" applyFont="1" applyBorder="1" applyAlignment="1">
      <alignment horizontal="center"/>
    </xf>
    <xf numFmtId="3" fontId="36" fillId="0" borderId="5" xfId="1" applyNumberFormat="1" applyFont="1" applyFill="1" applyBorder="1" applyAlignment="1">
      <alignment horizontal="center"/>
    </xf>
    <xf numFmtId="0" fontId="35" fillId="0" borderId="2" xfId="0" applyFont="1" applyBorder="1" applyAlignment="1">
      <alignment horizontal="left" indent="1"/>
    </xf>
    <xf numFmtId="3" fontId="27" fillId="4" borderId="23" xfId="1" applyNumberFormat="1" applyFont="1" applyFill="1" applyBorder="1" applyAlignment="1">
      <alignment horizontal="center"/>
    </xf>
    <xf numFmtId="3" fontId="27" fillId="4" borderId="24" xfId="1" applyNumberFormat="1" applyFont="1" applyFill="1" applyBorder="1" applyAlignment="1">
      <alignment horizontal="center"/>
    </xf>
    <xf numFmtId="3" fontId="27" fillId="4" borderId="25" xfId="1" applyNumberFormat="1" applyFont="1" applyFill="1" applyBorder="1" applyAlignment="1">
      <alignment horizontal="center"/>
    </xf>
    <xf numFmtId="3" fontId="35" fillId="4" borderId="2" xfId="1" applyNumberFormat="1" applyFont="1" applyFill="1" applyBorder="1" applyAlignment="1">
      <alignment horizontal="center"/>
    </xf>
    <xf numFmtId="3" fontId="35" fillId="4" borderId="0" xfId="1" applyNumberFormat="1" applyFont="1" applyFill="1" applyBorder="1" applyAlignment="1">
      <alignment horizontal="center"/>
    </xf>
    <xf numFmtId="3" fontId="35" fillId="4" borderId="5" xfId="1" applyNumberFormat="1" applyFont="1" applyFill="1" applyBorder="1" applyAlignment="1">
      <alignment horizontal="center"/>
    </xf>
    <xf numFmtId="3" fontId="35" fillId="0" borderId="2" xfId="0" applyNumberFormat="1" applyFont="1" applyBorder="1" applyAlignment="1">
      <alignment horizontal="left" indent="5"/>
    </xf>
    <xf numFmtId="3" fontId="35" fillId="0" borderId="2" xfId="0" applyNumberFormat="1" applyFont="1" applyBorder="1" applyAlignment="1">
      <alignment horizontal="left" indent="1"/>
    </xf>
    <xf numFmtId="3" fontId="27" fillId="4" borderId="14" xfId="1" applyNumberFormat="1" applyFont="1" applyFill="1" applyBorder="1" applyAlignment="1">
      <alignment horizontal="center"/>
    </xf>
    <xf numFmtId="3" fontId="27" fillId="4" borderId="15" xfId="1" applyNumberFormat="1" applyFont="1" applyFill="1" applyBorder="1" applyAlignment="1">
      <alignment horizontal="center"/>
    </xf>
    <xf numFmtId="3" fontId="27" fillId="4" borderId="26" xfId="1" applyNumberFormat="1" applyFont="1" applyFill="1" applyBorder="1" applyAlignment="1">
      <alignment horizontal="center"/>
    </xf>
    <xf numFmtId="3" fontId="32" fillId="0" borderId="2" xfId="0" applyNumberFormat="1" applyFont="1" applyBorder="1" applyAlignment="1">
      <alignment horizontal="center"/>
    </xf>
    <xf numFmtId="3" fontId="32" fillId="0" borderId="0" xfId="0" applyNumberFormat="1" applyFont="1" applyAlignment="1">
      <alignment horizontal="center"/>
    </xf>
    <xf numFmtId="3" fontId="32" fillId="0" borderId="5" xfId="0" applyNumberFormat="1" applyFont="1" applyBorder="1" applyAlignment="1">
      <alignment horizontal="center"/>
    </xf>
    <xf numFmtId="0" fontId="27" fillId="0" borderId="2" xfId="0" applyFont="1" applyBorder="1" applyAlignment="1">
      <alignment horizontal="left" indent="2"/>
    </xf>
    <xf numFmtId="0" fontId="35" fillId="0" borderId="2" xfId="0" applyFont="1" applyBorder="1" applyAlignment="1">
      <alignment horizontal="left" indent="4"/>
    </xf>
    <xf numFmtId="10" fontId="35" fillId="0" borderId="2" xfId="2" applyNumberFormat="1" applyFont="1" applyFill="1" applyBorder="1" applyAlignment="1">
      <alignment horizontal="right"/>
    </xf>
    <xf numFmtId="10" fontId="35" fillId="0" borderId="0" xfId="2" applyNumberFormat="1" applyFont="1" applyBorder="1" applyAlignment="1">
      <alignment horizontal="right"/>
    </xf>
    <xf numFmtId="10" fontId="35" fillId="4" borderId="5" xfId="2" applyNumberFormat="1" applyFont="1" applyFill="1" applyBorder="1" applyAlignment="1">
      <alignment horizontal="right"/>
    </xf>
    <xf numFmtId="0" fontId="37" fillId="0" borderId="2" xfId="0" applyFont="1" applyBorder="1" applyAlignment="1">
      <alignment horizontal="left" indent="4"/>
    </xf>
    <xf numFmtId="10" fontId="35" fillId="0" borderId="2" xfId="2" applyNumberFormat="1" applyFont="1" applyFill="1" applyBorder="1" applyAlignment="1">
      <alignment horizontal="center"/>
    </xf>
    <xf numFmtId="10" fontId="35" fillId="0" borderId="0" xfId="2" applyNumberFormat="1" applyFont="1" applyBorder="1" applyAlignment="1">
      <alignment horizontal="center"/>
    </xf>
    <xf numFmtId="10" fontId="35" fillId="4" borderId="5" xfId="2" applyNumberFormat="1" applyFont="1" applyFill="1" applyBorder="1" applyAlignment="1">
      <alignment horizontal="center"/>
    </xf>
    <xf numFmtId="3" fontId="7" fillId="0" borderId="2" xfId="1" applyNumberFormat="1" applyFont="1" applyFill="1" applyBorder="1" applyAlignment="1">
      <alignment horizontal="center"/>
    </xf>
    <xf numFmtId="3" fontId="37" fillId="0" borderId="2" xfId="1" applyNumberFormat="1" applyFont="1" applyFill="1" applyBorder="1" applyAlignment="1">
      <alignment horizontal="center"/>
    </xf>
    <xf numFmtId="3" fontId="37" fillId="0" borderId="0" xfId="1" applyNumberFormat="1" applyFont="1" applyBorder="1" applyAlignment="1">
      <alignment horizontal="center"/>
    </xf>
    <xf numFmtId="3" fontId="37" fillId="0" borderId="5" xfId="1" applyNumberFormat="1" applyFont="1" applyBorder="1" applyAlignment="1">
      <alignment horizontal="center"/>
    </xf>
    <xf numFmtId="10" fontId="37" fillId="0" borderId="2" xfId="2" applyNumberFormat="1" applyFont="1" applyFill="1" applyBorder="1" applyAlignment="1">
      <alignment horizontal="center"/>
    </xf>
    <xf numFmtId="10" fontId="37" fillId="0" borderId="0" xfId="2" applyNumberFormat="1" applyFont="1" applyBorder="1" applyAlignment="1">
      <alignment horizontal="center"/>
    </xf>
    <xf numFmtId="10" fontId="37" fillId="0" borderId="5" xfId="2" applyNumberFormat="1" applyFont="1" applyBorder="1" applyAlignment="1">
      <alignment horizontal="center"/>
    </xf>
    <xf numFmtId="0" fontId="35" fillId="0" borderId="2" xfId="0" applyFont="1" applyBorder="1"/>
    <xf numFmtId="3" fontId="35" fillId="0" borderId="5" xfId="1" applyNumberFormat="1" applyFont="1" applyBorder="1" applyAlignment="1">
      <alignment horizontal="center"/>
    </xf>
    <xf numFmtId="3" fontId="38" fillId="0" borderId="2" xfId="1" applyNumberFormat="1" applyFont="1" applyBorder="1" applyAlignment="1">
      <alignment horizontal="center"/>
    </xf>
    <xf numFmtId="3" fontId="38" fillId="0" borderId="0" xfId="1" applyNumberFormat="1" applyFont="1" applyBorder="1" applyAlignment="1">
      <alignment horizontal="center"/>
    </xf>
    <xf numFmtId="3" fontId="38" fillId="0" borderId="5" xfId="1" applyNumberFormat="1" applyFont="1" applyBorder="1" applyAlignment="1">
      <alignment horizontal="center"/>
    </xf>
    <xf numFmtId="164" fontId="22" fillId="7" borderId="5" xfId="1" applyNumberFormat="1" applyFont="1" applyFill="1" applyBorder="1" applyAlignment="1">
      <alignment horizontal="left" indent="1"/>
    </xf>
    <xf numFmtId="3" fontId="32" fillId="0" borderId="27" xfId="0" applyNumberFormat="1" applyFont="1" applyBorder="1" applyAlignment="1">
      <alignment horizontal="center"/>
    </xf>
    <xf numFmtId="3" fontId="32" fillId="0" borderId="28" xfId="0" applyNumberFormat="1" applyFont="1" applyBorder="1" applyAlignment="1">
      <alignment horizontal="center"/>
    </xf>
    <xf numFmtId="3" fontId="35" fillId="0" borderId="29" xfId="1" applyNumberFormat="1" applyFont="1" applyBorder="1" applyAlignment="1">
      <alignment horizontal="center"/>
    </xf>
    <xf numFmtId="0" fontId="11" fillId="0" borderId="2" xfId="0" applyFont="1" applyBorder="1" applyAlignment="1">
      <alignment horizontal="right"/>
    </xf>
    <xf numFmtId="3" fontId="27" fillId="0" borderId="14" xfId="1" applyNumberFormat="1" applyFont="1" applyBorder="1" applyAlignment="1">
      <alignment horizontal="center"/>
    </xf>
    <xf numFmtId="3" fontId="27" fillId="0" borderId="15" xfId="1" applyNumberFormat="1" applyFont="1" applyBorder="1" applyAlignment="1">
      <alignment horizontal="center"/>
    </xf>
    <xf numFmtId="3" fontId="27" fillId="0" borderId="26" xfId="1" applyNumberFormat="1" applyFont="1" applyBorder="1" applyAlignment="1">
      <alignment horizontal="center"/>
    </xf>
    <xf numFmtId="0" fontId="15" fillId="0" borderId="2" xfId="0" applyFont="1" applyBorder="1"/>
    <xf numFmtId="0" fontId="8" fillId="10" borderId="30" xfId="0" applyFont="1" applyFill="1" applyBorder="1"/>
    <xf numFmtId="0" fontId="8" fillId="10" borderId="2" xfId="0" applyFont="1" applyFill="1" applyBorder="1"/>
    <xf numFmtId="3" fontId="9" fillId="10" borderId="2" xfId="0" applyNumberFormat="1" applyFont="1" applyFill="1" applyBorder="1" applyAlignment="1">
      <alignment horizontal="center"/>
    </xf>
    <xf numFmtId="3" fontId="9" fillId="10" borderId="0" xfId="0" applyNumberFormat="1" applyFont="1" applyFill="1" applyAlignment="1">
      <alignment horizontal="center"/>
    </xf>
    <xf numFmtId="3" fontId="9" fillId="10" borderId="5" xfId="0" applyNumberFormat="1" applyFont="1" applyFill="1" applyBorder="1" applyAlignment="1">
      <alignment horizontal="center"/>
    </xf>
    <xf numFmtId="0" fontId="10" fillId="10" borderId="5" xfId="0" applyFont="1" applyFill="1" applyBorder="1" applyAlignment="1">
      <alignment horizontal="left" indent="1"/>
    </xf>
    <xf numFmtId="0" fontId="27" fillId="0" borderId="2" xfId="0" applyFont="1" applyBorder="1"/>
    <xf numFmtId="3" fontId="27" fillId="0" borderId="2" xfId="0" applyNumberFormat="1" applyFont="1" applyBorder="1" applyAlignment="1">
      <alignment horizontal="right"/>
    </xf>
    <xf numFmtId="3" fontId="27" fillId="0" borderId="0" xfId="0" applyNumberFormat="1" applyFont="1" applyAlignment="1">
      <alignment horizontal="right"/>
    </xf>
    <xf numFmtId="3" fontId="27" fillId="0" borderId="5" xfId="0" applyNumberFormat="1" applyFont="1" applyBorder="1" applyAlignment="1">
      <alignment horizontal="right"/>
    </xf>
    <xf numFmtId="3" fontId="35" fillId="0" borderId="2" xfId="0" applyNumberFormat="1" applyFont="1" applyBorder="1" applyAlignment="1">
      <alignment horizontal="right"/>
    </xf>
    <xf numFmtId="3" fontId="35" fillId="0" borderId="0" xfId="0" applyNumberFormat="1" applyFont="1" applyAlignment="1">
      <alignment horizontal="right"/>
    </xf>
    <xf numFmtId="3" fontId="35" fillId="0" borderId="5" xfId="0" applyNumberFormat="1" applyFont="1" applyBorder="1" applyAlignment="1">
      <alignment horizontal="right"/>
    </xf>
    <xf numFmtId="3" fontId="27" fillId="0" borderId="14" xfId="0" applyNumberFormat="1" applyFont="1" applyBorder="1" applyAlignment="1">
      <alignment horizontal="right"/>
    </xf>
    <xf numFmtId="3" fontId="27" fillId="0" borderId="15" xfId="0" applyNumberFormat="1" applyFont="1" applyBorder="1" applyAlignment="1">
      <alignment horizontal="right"/>
    </xf>
    <xf numFmtId="3" fontId="27" fillId="0" borderId="26" xfId="0" applyNumberFormat="1" applyFont="1" applyBorder="1" applyAlignment="1">
      <alignment horizontal="right"/>
    </xf>
    <xf numFmtId="3" fontId="27" fillId="0" borderId="2" xfId="0" applyNumberFormat="1" applyFont="1" applyBorder="1"/>
    <xf numFmtId="3" fontId="39" fillId="0" borderId="0" xfId="0" applyNumberFormat="1" applyFont="1" applyAlignment="1">
      <alignment horizontal="center"/>
    </xf>
    <xf numFmtId="164" fontId="40" fillId="7" borderId="5" xfId="1" applyNumberFormat="1" applyFont="1" applyFill="1" applyBorder="1" applyAlignment="1">
      <alignment horizontal="left" indent="1"/>
    </xf>
    <xf numFmtId="0" fontId="41" fillId="11" borderId="0" xfId="0" applyFont="1" applyFill="1"/>
    <xf numFmtId="0" fontId="42" fillId="11" borderId="2" xfId="0" applyFont="1" applyFill="1" applyBorder="1"/>
    <xf numFmtId="3" fontId="42" fillId="11" borderId="2" xfId="0" applyNumberFormat="1" applyFont="1" applyFill="1" applyBorder="1" applyAlignment="1">
      <alignment horizontal="center"/>
    </xf>
    <xf numFmtId="3" fontId="42" fillId="11" borderId="0" xfId="0" applyNumberFormat="1" applyFont="1" applyFill="1" applyAlignment="1">
      <alignment horizontal="center"/>
    </xf>
    <xf numFmtId="3" fontId="42" fillId="11" borderId="5" xfId="0" applyNumberFormat="1" applyFont="1" applyFill="1" applyBorder="1" applyAlignment="1">
      <alignment horizontal="center"/>
    </xf>
    <xf numFmtId="0" fontId="42" fillId="11" borderId="5" xfId="0" applyFont="1" applyFill="1" applyBorder="1" applyAlignment="1">
      <alignment horizontal="left" indent="1"/>
    </xf>
    <xf numFmtId="0" fontId="43" fillId="0" borderId="2" xfId="0" applyFont="1" applyBorder="1"/>
    <xf numFmtId="3" fontId="43" fillId="0" borderId="2" xfId="0" applyNumberFormat="1" applyFont="1" applyBorder="1" applyAlignment="1">
      <alignment horizontal="right"/>
    </xf>
    <xf numFmtId="3" fontId="43" fillId="0" borderId="0" xfId="0" applyNumberFormat="1" applyFont="1" applyAlignment="1">
      <alignment horizontal="right"/>
    </xf>
    <xf numFmtId="3" fontId="43" fillId="0" borderId="5" xfId="0" applyNumberFormat="1" applyFont="1" applyBorder="1" applyAlignment="1">
      <alignment horizontal="right"/>
    </xf>
    <xf numFmtId="0" fontId="44" fillId="0" borderId="5" xfId="0" applyFont="1" applyBorder="1"/>
    <xf numFmtId="0" fontId="45" fillId="0" borderId="2" xfId="0" applyFont="1" applyBorder="1"/>
    <xf numFmtId="3" fontId="45" fillId="0" borderId="2" xfId="0" applyNumberFormat="1" applyFont="1" applyBorder="1" applyAlignment="1">
      <alignment horizontal="right"/>
    </xf>
    <xf numFmtId="3" fontId="45" fillId="0" borderId="0" xfId="0" applyNumberFormat="1" applyFont="1" applyAlignment="1">
      <alignment horizontal="right"/>
    </xf>
    <xf numFmtId="3" fontId="45" fillId="0" borderId="5" xfId="0" applyNumberFormat="1" applyFont="1" applyBorder="1" applyAlignment="1">
      <alignment horizontal="right"/>
    </xf>
    <xf numFmtId="9" fontId="19" fillId="4" borderId="0" xfId="0" applyNumberFormat="1" applyFont="1" applyFill="1"/>
    <xf numFmtId="3" fontId="43" fillId="0" borderId="14" xfId="0" applyNumberFormat="1" applyFont="1" applyBorder="1" applyAlignment="1">
      <alignment horizontal="right"/>
    </xf>
    <xf numFmtId="3" fontId="43" fillId="0" borderId="15" xfId="0" applyNumberFormat="1" applyFont="1" applyBorder="1" applyAlignment="1">
      <alignment horizontal="right"/>
    </xf>
    <xf numFmtId="3" fontId="43" fillId="0" borderId="26" xfId="0" applyNumberFormat="1" applyFont="1" applyBorder="1" applyAlignment="1">
      <alignment horizontal="right"/>
    </xf>
    <xf numFmtId="164" fontId="46" fillId="0" borderId="5" xfId="1" applyNumberFormat="1" applyFont="1" applyBorder="1" applyAlignment="1">
      <alignment horizontal="left"/>
    </xf>
    <xf numFmtId="164" fontId="47" fillId="0" borderId="5" xfId="1" applyNumberFormat="1" applyFont="1" applyBorder="1" applyAlignment="1">
      <alignment horizontal="left"/>
    </xf>
    <xf numFmtId="0" fontId="48" fillId="12" borderId="2" xfId="0" applyFont="1" applyFill="1" applyBorder="1"/>
    <xf numFmtId="0" fontId="49" fillId="13" borderId="2" xfId="0" applyFont="1" applyFill="1" applyBorder="1"/>
    <xf numFmtId="0" fontId="8" fillId="0" borderId="0" xfId="0" applyFont="1"/>
    <xf numFmtId="0" fontId="50" fillId="5" borderId="2" xfId="0" applyFont="1" applyFill="1" applyBorder="1"/>
    <xf numFmtId="3" fontId="50" fillId="5" borderId="2" xfId="0" applyNumberFormat="1" applyFont="1" applyFill="1" applyBorder="1" applyAlignment="1">
      <alignment horizontal="center"/>
    </xf>
    <xf numFmtId="3" fontId="50" fillId="5" borderId="0" xfId="0" applyNumberFormat="1" applyFont="1" applyFill="1" applyAlignment="1">
      <alignment horizontal="center"/>
    </xf>
    <xf numFmtId="3" fontId="50" fillId="5" borderId="5" xfId="0" applyNumberFormat="1" applyFont="1" applyFill="1" applyBorder="1" applyAlignment="1">
      <alignment horizontal="center"/>
    </xf>
    <xf numFmtId="0" fontId="50" fillId="4" borderId="2" xfId="0" applyFont="1" applyFill="1" applyBorder="1"/>
    <xf numFmtId="3" fontId="50" fillId="8" borderId="2" xfId="1" applyNumberFormat="1" applyFont="1" applyFill="1" applyBorder="1" applyAlignment="1">
      <alignment horizontal="center"/>
    </xf>
    <xf numFmtId="3" fontId="50" fillId="8" borderId="0" xfId="1" applyNumberFormat="1" applyFont="1" applyFill="1" applyBorder="1" applyAlignment="1">
      <alignment horizontal="center"/>
    </xf>
    <xf numFmtId="3" fontId="50" fillId="8" borderId="5" xfId="1" applyNumberFormat="1" applyFont="1" applyFill="1" applyBorder="1" applyAlignment="1">
      <alignment horizontal="center"/>
    </xf>
    <xf numFmtId="3" fontId="50" fillId="8" borderId="2" xfId="1" applyNumberFormat="1" applyFont="1" applyFill="1" applyBorder="1" applyAlignment="1">
      <alignment horizontal="center" vertical="center"/>
    </xf>
    <xf numFmtId="3" fontId="50" fillId="8" borderId="0" xfId="1" applyNumberFormat="1" applyFont="1" applyFill="1" applyBorder="1" applyAlignment="1">
      <alignment horizontal="center" vertical="center"/>
    </xf>
    <xf numFmtId="3" fontId="50" fillId="8" borderId="5" xfId="1" applyNumberFormat="1" applyFont="1" applyFill="1" applyBorder="1" applyAlignment="1">
      <alignment horizontal="center" vertical="center"/>
    </xf>
    <xf numFmtId="3" fontId="50" fillId="8" borderId="27" xfId="1" applyNumberFormat="1" applyFont="1" applyFill="1" applyBorder="1" applyAlignment="1">
      <alignment horizontal="center" vertical="center"/>
    </xf>
    <xf numFmtId="3" fontId="50" fillId="8" borderId="28" xfId="1" applyNumberFormat="1" applyFont="1" applyFill="1" applyBorder="1" applyAlignment="1">
      <alignment horizontal="center" vertical="center"/>
    </xf>
    <xf numFmtId="3" fontId="50" fillId="8" borderId="29" xfId="1" applyNumberFormat="1" applyFont="1" applyFill="1" applyBorder="1" applyAlignment="1">
      <alignment horizontal="center" vertical="center"/>
    </xf>
    <xf numFmtId="0" fontId="50" fillId="0" borderId="2" xfId="0" applyFont="1" applyBorder="1"/>
    <xf numFmtId="3" fontId="27" fillId="0" borderId="14" xfId="0" applyNumberFormat="1" applyFont="1" applyBorder="1" applyAlignment="1">
      <alignment horizontal="center"/>
    </xf>
    <xf numFmtId="3" fontId="27" fillId="0" borderId="15" xfId="0" applyNumberFormat="1" applyFont="1" applyBorder="1" applyAlignment="1">
      <alignment horizontal="center"/>
    </xf>
    <xf numFmtId="3" fontId="27" fillId="0" borderId="26" xfId="0" applyNumberFormat="1" applyFont="1" applyBorder="1" applyAlignment="1">
      <alignment horizontal="center"/>
    </xf>
    <xf numFmtId="164" fontId="22" fillId="8" borderId="5" xfId="1" applyNumberFormat="1" applyFont="1" applyFill="1" applyBorder="1" applyAlignment="1">
      <alignment horizontal="left"/>
    </xf>
    <xf numFmtId="3" fontId="35" fillId="0" borderId="13" xfId="0" applyNumberFormat="1" applyFont="1" applyBorder="1" applyAlignment="1">
      <alignment horizontal="right"/>
    </xf>
    <xf numFmtId="3" fontId="35" fillId="0" borderId="31" xfId="0" applyNumberFormat="1" applyFont="1" applyBorder="1" applyAlignment="1">
      <alignment horizontal="right"/>
    </xf>
    <xf numFmtId="3" fontId="35" fillId="0" borderId="32" xfId="0" applyNumberFormat="1" applyFont="1" applyBorder="1" applyAlignment="1">
      <alignment horizontal="right"/>
    </xf>
    <xf numFmtId="3" fontId="35" fillId="0" borderId="33" xfId="0" applyNumberFormat="1" applyFont="1" applyBorder="1" applyAlignment="1">
      <alignment horizontal="right"/>
    </xf>
    <xf numFmtId="3" fontId="27" fillId="0" borderId="34" xfId="0" applyNumberFormat="1" applyFont="1" applyBorder="1" applyAlignment="1">
      <alignment horizontal="right"/>
    </xf>
    <xf numFmtId="3" fontId="27" fillId="0" borderId="35" xfId="0" applyNumberFormat="1" applyFont="1" applyBorder="1" applyAlignment="1">
      <alignment horizontal="right"/>
    </xf>
    <xf numFmtId="3" fontId="27" fillId="0" borderId="16" xfId="0" applyNumberFormat="1" applyFont="1" applyBorder="1" applyAlignment="1">
      <alignment horizontal="right"/>
    </xf>
    <xf numFmtId="3" fontId="50" fillId="0" borderId="2" xfId="0" applyNumberFormat="1" applyFont="1" applyBorder="1" applyAlignment="1">
      <alignment horizontal="center"/>
    </xf>
    <xf numFmtId="3" fontId="50" fillId="0" borderId="0" xfId="0" applyNumberFormat="1" applyFont="1" applyAlignment="1">
      <alignment horizontal="center"/>
    </xf>
    <xf numFmtId="3" fontId="50" fillId="0" borderId="5" xfId="0" applyNumberFormat="1" applyFont="1" applyBorder="1" applyAlignment="1">
      <alignment horizontal="center"/>
    </xf>
    <xf numFmtId="3" fontId="51" fillId="0" borderId="2" xfId="0" applyNumberFormat="1" applyFont="1" applyBorder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10" fontId="50" fillId="8" borderId="2" xfId="0" applyNumberFormat="1" applyFont="1" applyFill="1" applyBorder="1" applyAlignment="1">
      <alignment horizontal="center"/>
    </xf>
    <xf numFmtId="10" fontId="50" fillId="8" borderId="0" xfId="0" applyNumberFormat="1" applyFont="1" applyFill="1" applyAlignment="1">
      <alignment horizontal="center"/>
    </xf>
    <xf numFmtId="10" fontId="50" fillId="8" borderId="5" xfId="2" applyNumberFormat="1" applyFont="1" applyFill="1" applyBorder="1" applyAlignment="1">
      <alignment horizontal="center"/>
    </xf>
    <xf numFmtId="0" fontId="35" fillId="0" borderId="2" xfId="0" quotePrefix="1" applyFont="1" applyBorder="1" applyAlignment="1">
      <alignment horizontal="left" indent="1"/>
    </xf>
    <xf numFmtId="10" fontId="50" fillId="8" borderId="5" xfId="0" applyNumberFormat="1" applyFont="1" applyFill="1" applyBorder="1" applyAlignment="1">
      <alignment horizontal="center"/>
    </xf>
    <xf numFmtId="0" fontId="50" fillId="0" borderId="2" xfId="0" quotePrefix="1" applyFont="1" applyBorder="1" applyAlignment="1">
      <alignment horizontal="left" indent="1"/>
    </xf>
    <xf numFmtId="0" fontId="42" fillId="11" borderId="2" xfId="0" quotePrefix="1" applyFont="1" applyFill="1" applyBorder="1"/>
    <xf numFmtId="3" fontId="45" fillId="8" borderId="2" xfId="0" applyNumberFormat="1" applyFont="1" applyFill="1" applyBorder="1" applyAlignment="1">
      <alignment horizontal="right"/>
    </xf>
    <xf numFmtId="3" fontId="45" fillId="8" borderId="0" xfId="0" applyNumberFormat="1" applyFont="1" applyFill="1" applyAlignment="1">
      <alignment horizontal="right"/>
    </xf>
    <xf numFmtId="3" fontId="45" fillId="8" borderId="5" xfId="0" applyNumberFormat="1" applyFont="1" applyFill="1" applyBorder="1" applyAlignment="1">
      <alignment horizontal="right"/>
    </xf>
    <xf numFmtId="0" fontId="45" fillId="0" borderId="2" xfId="0" quotePrefix="1" applyFont="1" applyBorder="1"/>
    <xf numFmtId="3" fontId="45" fillId="0" borderId="2" xfId="0" quotePrefix="1" applyNumberFormat="1" applyFont="1" applyBorder="1" applyAlignment="1">
      <alignment horizontal="right"/>
    </xf>
    <xf numFmtId="3" fontId="52" fillId="0" borderId="14" xfId="0" applyNumberFormat="1" applyFont="1" applyBorder="1" applyAlignment="1">
      <alignment horizontal="right"/>
    </xf>
    <xf numFmtId="3" fontId="52" fillId="0" borderId="15" xfId="0" applyNumberFormat="1" applyFont="1" applyBorder="1" applyAlignment="1">
      <alignment horizontal="right"/>
    </xf>
    <xf numFmtId="3" fontId="52" fillId="0" borderId="26" xfId="0" applyNumberFormat="1" applyFont="1" applyBorder="1" applyAlignment="1">
      <alignment horizontal="right"/>
    </xf>
    <xf numFmtId="3" fontId="50" fillId="0" borderId="2" xfId="0" quotePrefix="1" applyNumberFormat="1" applyFont="1" applyBorder="1" applyAlignment="1">
      <alignment horizontal="center"/>
    </xf>
    <xf numFmtId="3" fontId="35" fillId="0" borderId="27" xfId="1" applyNumberFormat="1" applyFont="1" applyBorder="1" applyAlignment="1">
      <alignment horizontal="center"/>
    </xf>
    <xf numFmtId="3" fontId="35" fillId="0" borderId="28" xfId="1" applyNumberFormat="1" applyFont="1" applyBorder="1" applyAlignment="1">
      <alignment horizontal="center"/>
    </xf>
    <xf numFmtId="3" fontId="27" fillId="0" borderId="25" xfId="0" applyNumberFormat="1" applyFont="1" applyBorder="1" applyAlignment="1">
      <alignment horizontal="center"/>
    </xf>
    <xf numFmtId="0" fontId="53" fillId="11" borderId="2" xfId="0" applyFont="1" applyFill="1" applyBorder="1"/>
    <xf numFmtId="3" fontId="54" fillId="11" borderId="2" xfId="0" applyNumberFormat="1" applyFont="1" applyFill="1" applyBorder="1"/>
    <xf numFmtId="3" fontId="54" fillId="11" borderId="0" xfId="0" applyNumberFormat="1" applyFont="1" applyFill="1"/>
    <xf numFmtId="3" fontId="54" fillId="11" borderId="5" xfId="0" applyNumberFormat="1" applyFont="1" applyFill="1" applyBorder="1" applyAlignment="1">
      <alignment horizontal="center"/>
    </xf>
    <xf numFmtId="0" fontId="42" fillId="11" borderId="5" xfId="0" applyFont="1" applyFill="1" applyBorder="1" applyAlignment="1">
      <alignment horizontal="center"/>
    </xf>
    <xf numFmtId="0" fontId="55" fillId="0" borderId="2" xfId="0" applyFont="1" applyBorder="1"/>
    <xf numFmtId="3" fontId="55" fillId="0" borderId="2" xfId="1" applyNumberFormat="1" applyFont="1" applyBorder="1" applyAlignment="1">
      <alignment horizontal="center"/>
    </xf>
    <xf numFmtId="3" fontId="55" fillId="0" borderId="0" xfId="1" applyNumberFormat="1" applyFont="1" applyBorder="1" applyAlignment="1">
      <alignment horizontal="center"/>
    </xf>
    <xf numFmtId="3" fontId="55" fillId="0" borderId="5" xfId="1" applyNumberFormat="1" applyFont="1" applyBorder="1" applyAlignment="1">
      <alignment horizontal="center"/>
    </xf>
    <xf numFmtId="0" fontId="15" fillId="8" borderId="2" xfId="0" applyFont="1" applyFill="1" applyBorder="1" applyAlignment="1">
      <alignment horizontal="left" indent="2"/>
    </xf>
    <xf numFmtId="3" fontId="15" fillId="8" borderId="2" xfId="1" applyNumberFormat="1" applyFont="1" applyFill="1" applyBorder="1" applyAlignment="1">
      <alignment horizontal="center"/>
    </xf>
    <xf numFmtId="3" fontId="15" fillId="8" borderId="0" xfId="1" applyNumberFormat="1" applyFont="1" applyFill="1" applyBorder="1" applyAlignment="1">
      <alignment horizontal="center"/>
    </xf>
    <xf numFmtId="3" fontId="15" fillId="8" borderId="5" xfId="1" applyNumberFormat="1" applyFont="1" applyFill="1" applyBorder="1" applyAlignment="1">
      <alignment horizontal="center"/>
    </xf>
    <xf numFmtId="3" fontId="55" fillId="0" borderId="27" xfId="1" applyNumberFormat="1" applyFont="1" applyBorder="1" applyAlignment="1">
      <alignment horizontal="center"/>
    </xf>
    <xf numFmtId="3" fontId="55" fillId="0" borderId="28" xfId="1" applyNumberFormat="1" applyFont="1" applyBorder="1" applyAlignment="1">
      <alignment horizontal="center"/>
    </xf>
    <xf numFmtId="3" fontId="55" fillId="0" borderId="29" xfId="1" applyNumberFormat="1" applyFont="1" applyBorder="1" applyAlignment="1">
      <alignment horizontal="center"/>
    </xf>
    <xf numFmtId="3" fontId="56" fillId="0" borderId="14" xfId="0" applyNumberFormat="1" applyFont="1" applyBorder="1" applyAlignment="1">
      <alignment horizontal="right"/>
    </xf>
    <xf numFmtId="3" fontId="56" fillId="0" borderId="15" xfId="0" applyNumberFormat="1" applyFont="1" applyBorder="1" applyAlignment="1">
      <alignment horizontal="right"/>
    </xf>
    <xf numFmtId="3" fontId="56" fillId="0" borderId="26" xfId="0" applyNumberFormat="1" applyFont="1" applyBorder="1" applyAlignment="1">
      <alignment horizontal="right"/>
    </xf>
    <xf numFmtId="3" fontId="55" fillId="0" borderId="2" xfId="0" applyNumberFormat="1" applyFont="1" applyBorder="1"/>
    <xf numFmtId="3" fontId="56" fillId="0" borderId="2" xfId="0" applyNumberFormat="1" applyFont="1" applyBorder="1" applyAlignment="1">
      <alignment horizontal="right"/>
    </xf>
    <xf numFmtId="3" fontId="56" fillId="0" borderId="0" xfId="0" applyNumberFormat="1" applyFont="1" applyAlignment="1">
      <alignment horizontal="right"/>
    </xf>
    <xf numFmtId="3" fontId="56" fillId="0" borderId="5" xfId="0" applyNumberFormat="1" applyFont="1" applyBorder="1" applyAlignment="1">
      <alignment horizontal="right"/>
    </xf>
    <xf numFmtId="3" fontId="14" fillId="8" borderId="5" xfId="1" applyNumberFormat="1" applyFont="1" applyFill="1" applyBorder="1" applyAlignment="1"/>
    <xf numFmtId="3" fontId="35" fillId="0" borderId="2" xfId="1" applyNumberFormat="1" applyFont="1" applyBorder="1"/>
    <xf numFmtId="3" fontId="35" fillId="0" borderId="0" xfId="1" applyNumberFormat="1" applyFont="1" applyBorder="1"/>
    <xf numFmtId="3" fontId="35" fillId="0" borderId="5" xfId="1" applyNumberFormat="1" applyFont="1" applyBorder="1" applyAlignment="1"/>
    <xf numFmtId="164" fontId="29" fillId="4" borderId="5" xfId="1" applyNumberFormat="1" applyFont="1" applyFill="1" applyBorder="1" applyAlignment="1">
      <alignment horizontal="left"/>
    </xf>
    <xf numFmtId="3" fontId="27" fillId="0" borderId="14" xfId="0" applyNumberFormat="1" applyFont="1" applyBorder="1"/>
    <xf numFmtId="3" fontId="27" fillId="0" borderId="15" xfId="0" applyNumberFormat="1" applyFont="1" applyBorder="1"/>
    <xf numFmtId="3" fontId="27" fillId="0" borderId="26" xfId="0" applyNumberFormat="1" applyFont="1" applyBorder="1"/>
    <xf numFmtId="3" fontId="24" fillId="0" borderId="2" xfId="0" applyNumberFormat="1" applyFont="1" applyBorder="1"/>
    <xf numFmtId="3" fontId="24" fillId="0" borderId="0" xfId="0" applyNumberFormat="1" applyFont="1"/>
    <xf numFmtId="3" fontId="24" fillId="0" borderId="5" xfId="0" applyNumberFormat="1" applyFont="1" applyBorder="1"/>
    <xf numFmtId="0" fontId="41" fillId="0" borderId="0" xfId="0" applyFont="1"/>
    <xf numFmtId="3" fontId="36" fillId="4" borderId="2" xfId="1" applyNumberFormat="1" applyFont="1" applyFill="1" applyBorder="1" applyAlignment="1">
      <alignment horizontal="center"/>
    </xf>
    <xf numFmtId="3" fontId="36" fillId="4" borderId="0" xfId="1" applyNumberFormat="1" applyFont="1" applyFill="1" applyBorder="1" applyAlignment="1">
      <alignment horizontal="center"/>
    </xf>
    <xf numFmtId="3" fontId="36" fillId="4" borderId="5" xfId="1" applyNumberFormat="1" applyFont="1" applyFill="1" applyBorder="1" applyAlignment="1">
      <alignment horizontal="center"/>
    </xf>
    <xf numFmtId="3" fontId="57" fillId="14" borderId="2" xfId="1" applyNumberFormat="1" applyFont="1" applyFill="1" applyBorder="1" applyAlignment="1">
      <alignment horizontal="center"/>
    </xf>
    <xf numFmtId="3" fontId="35" fillId="14" borderId="0" xfId="1" applyNumberFormat="1" applyFont="1" applyFill="1" applyBorder="1" applyAlignment="1">
      <alignment horizontal="center"/>
    </xf>
    <xf numFmtId="10" fontId="58" fillId="4" borderId="0" xfId="0" applyNumberFormat="1" applyFont="1" applyFill="1"/>
    <xf numFmtId="3" fontId="35" fillId="14" borderId="2" xfId="1" applyNumberFormat="1" applyFont="1" applyFill="1" applyBorder="1" applyAlignment="1">
      <alignment horizontal="center"/>
    </xf>
    <xf numFmtId="0" fontId="58" fillId="2" borderId="0" xfId="0" applyFont="1" applyFill="1"/>
    <xf numFmtId="0" fontId="58" fillId="4" borderId="0" xfId="0" applyFont="1" applyFill="1"/>
    <xf numFmtId="0" fontId="57" fillId="0" borderId="2" xfId="0" applyFont="1" applyBorder="1"/>
    <xf numFmtId="3" fontId="57" fillId="14" borderId="0" xfId="1" applyNumberFormat="1" applyFont="1" applyFill="1" applyAlignment="1">
      <alignment horizontal="center"/>
    </xf>
    <xf numFmtId="3" fontId="57" fillId="4" borderId="5" xfId="1" applyNumberFormat="1" applyFont="1" applyFill="1" applyBorder="1" applyAlignment="1">
      <alignment horizontal="center"/>
    </xf>
    <xf numFmtId="164" fontId="59" fillId="0" borderId="5" xfId="1" applyNumberFormat="1" applyFont="1" applyBorder="1" applyAlignment="1">
      <alignment horizontal="left"/>
    </xf>
    <xf numFmtId="3" fontId="0" fillId="0" borderId="0" xfId="0" applyNumberFormat="1"/>
    <xf numFmtId="3" fontId="35" fillId="0" borderId="27" xfId="1" applyNumberFormat="1" applyFont="1" applyBorder="1" applyAlignment="1">
      <alignment vertical="center"/>
    </xf>
    <xf numFmtId="3" fontId="35" fillId="0" borderId="28" xfId="1" applyNumberFormat="1" applyFont="1" applyBorder="1" applyAlignment="1">
      <alignment vertical="center"/>
    </xf>
    <xf numFmtId="3" fontId="35" fillId="0" borderId="2" xfId="0" applyNumberFormat="1" applyFont="1" applyBorder="1"/>
    <xf numFmtId="0" fontId="60" fillId="0" borderId="2" xfId="0" applyFont="1" applyBorder="1" applyAlignment="1">
      <alignment horizontal="right"/>
    </xf>
    <xf numFmtId="3" fontId="27" fillId="0" borderId="2" xfId="0" applyNumberFormat="1" applyFont="1" applyBorder="1" applyAlignment="1">
      <alignment horizontal="center"/>
    </xf>
    <xf numFmtId="3" fontId="27" fillId="0" borderId="0" xfId="0" applyNumberFormat="1" applyFont="1" applyAlignment="1">
      <alignment horizontal="center"/>
    </xf>
    <xf numFmtId="3" fontId="27" fillId="0" borderId="5" xfId="0" applyNumberFormat="1" applyFont="1" applyBorder="1" applyAlignment="1">
      <alignment horizontal="center"/>
    </xf>
    <xf numFmtId="0" fontId="0" fillId="0" borderId="2" xfId="0" applyBorder="1"/>
    <xf numFmtId="0" fontId="7" fillId="15" borderId="0" xfId="0" applyFont="1" applyFill="1"/>
    <xf numFmtId="0" fontId="61" fillId="0" borderId="30" xfId="0" applyFont="1" applyBorder="1" applyAlignment="1">
      <alignment horizontal="left" indent="1"/>
    </xf>
    <xf numFmtId="3" fontId="38" fillId="0" borderId="36" xfId="0" applyNumberFormat="1" applyFont="1" applyBorder="1" applyAlignment="1">
      <alignment horizontal="center"/>
    </xf>
    <xf numFmtId="3" fontId="38" fillId="0" borderId="37" xfId="0" applyNumberFormat="1" applyFont="1" applyBorder="1" applyAlignment="1">
      <alignment horizontal="center"/>
    </xf>
    <xf numFmtId="3" fontId="38" fillId="0" borderId="38" xfId="0" applyNumberFormat="1" applyFont="1" applyBorder="1" applyAlignment="1">
      <alignment horizontal="center"/>
    </xf>
    <xf numFmtId="3" fontId="38" fillId="0" borderId="2" xfId="0" applyNumberFormat="1" applyFont="1" applyBorder="1" applyAlignment="1">
      <alignment horizontal="center"/>
    </xf>
    <xf numFmtId="3" fontId="38" fillId="0" borderId="0" xfId="0" applyNumberFormat="1" applyFont="1" applyAlignment="1">
      <alignment horizontal="center"/>
    </xf>
    <xf numFmtId="3" fontId="38" fillId="0" borderId="5" xfId="0" applyNumberFormat="1" applyFont="1" applyBorder="1" applyAlignment="1">
      <alignment horizontal="center"/>
    </xf>
    <xf numFmtId="3" fontId="38" fillId="0" borderId="39" xfId="0" applyNumberFormat="1" applyFont="1" applyBorder="1" applyAlignment="1">
      <alignment horizontal="center"/>
    </xf>
    <xf numFmtId="3" fontId="38" fillId="0" borderId="40" xfId="0" applyNumberFormat="1" applyFont="1" applyBorder="1" applyAlignment="1">
      <alignment horizontal="center"/>
    </xf>
    <xf numFmtId="3" fontId="38" fillId="0" borderId="41" xfId="0" applyNumberFormat="1" applyFont="1" applyBorder="1" applyAlignment="1">
      <alignment horizontal="center"/>
    </xf>
    <xf numFmtId="0" fontId="0" fillId="15" borderId="0" xfId="0" applyFill="1"/>
    <xf numFmtId="0" fontId="9" fillId="6" borderId="0" xfId="0" applyFont="1" applyFill="1" applyAlignment="1">
      <alignment horizontal="center"/>
    </xf>
    <xf numFmtId="9" fontId="35" fillId="0" borderId="2" xfId="2" applyFont="1" applyFill="1" applyBorder="1" applyAlignment="1">
      <alignment horizontal="center"/>
    </xf>
    <xf numFmtId="9" fontId="35" fillId="0" borderId="0" xfId="2" applyFont="1" applyBorder="1" applyAlignment="1">
      <alignment horizontal="center"/>
    </xf>
    <xf numFmtId="9" fontId="35" fillId="0" borderId="5" xfId="2" applyFont="1" applyBorder="1" applyAlignment="1">
      <alignment horizontal="center"/>
    </xf>
    <xf numFmtId="9" fontId="35" fillId="0" borderId="2" xfId="0" applyNumberFormat="1" applyFont="1" applyBorder="1" applyAlignment="1">
      <alignment horizontal="center"/>
    </xf>
    <xf numFmtId="9" fontId="35" fillId="0" borderId="0" xfId="0" applyNumberFormat="1" applyFont="1" applyAlignment="1">
      <alignment horizontal="center"/>
    </xf>
    <xf numFmtId="3" fontId="7" fillId="15" borderId="5" xfId="0" applyNumberFormat="1" applyFont="1" applyFill="1" applyBorder="1" applyAlignment="1">
      <alignment horizontal="center"/>
    </xf>
    <xf numFmtId="0" fontId="62" fillId="0" borderId="5" xfId="0" applyFont="1" applyBorder="1" applyAlignment="1">
      <alignment horizontal="left" indent="1"/>
    </xf>
    <xf numFmtId="3" fontId="35" fillId="0" borderId="2" xfId="1" applyNumberFormat="1" applyFont="1" applyFill="1" applyBorder="1" applyAlignment="1">
      <alignment horizontal="center"/>
    </xf>
    <xf numFmtId="3" fontId="35" fillId="0" borderId="2" xfId="0" applyNumberFormat="1" applyFont="1" applyBorder="1" applyAlignment="1">
      <alignment horizontal="center"/>
    </xf>
    <xf numFmtId="3" fontId="35" fillId="0" borderId="0" xfId="0" applyNumberFormat="1" applyFont="1" applyAlignment="1">
      <alignment horizontal="center"/>
    </xf>
    <xf numFmtId="0" fontId="29" fillId="0" borderId="5" xfId="0" applyFont="1" applyBorder="1"/>
    <xf numFmtId="0" fontId="35" fillId="0" borderId="42" xfId="0" applyFont="1" applyBorder="1"/>
    <xf numFmtId="3" fontId="35" fillId="0" borderId="42" xfId="1" applyNumberFormat="1" applyFont="1" applyFill="1" applyBorder="1" applyAlignment="1">
      <alignment horizontal="center"/>
    </xf>
    <xf numFmtId="3" fontId="35" fillId="0" borderId="43" xfId="1" applyNumberFormat="1" applyFont="1" applyBorder="1" applyAlignment="1">
      <alignment horizontal="center"/>
    </xf>
    <xf numFmtId="3" fontId="35" fillId="0" borderId="44" xfId="0" applyNumberFormat="1" applyFont="1" applyBorder="1" applyAlignment="1">
      <alignment horizontal="center"/>
    </xf>
    <xf numFmtId="164" fontId="13" fillId="0" borderId="45" xfId="1" applyNumberFormat="1" applyFont="1" applyBorder="1" applyAlignment="1">
      <alignment horizontal="left"/>
    </xf>
    <xf numFmtId="0" fontId="9" fillId="0" borderId="0" xfId="0" applyFont="1"/>
    <xf numFmtId="3" fontId="35" fillId="0" borderId="5" xfId="0" applyNumberFormat="1" applyFont="1" applyBorder="1" applyAlignment="1">
      <alignment horizontal="center"/>
    </xf>
    <xf numFmtId="165" fontId="37" fillId="16" borderId="46" xfId="0" applyNumberFormat="1" applyFont="1" applyFill="1" applyBorder="1"/>
    <xf numFmtId="165" fontId="37" fillId="16" borderId="0" xfId="0" applyNumberFormat="1" applyFont="1" applyFill="1"/>
    <xf numFmtId="165" fontId="37" fillId="16" borderId="13" xfId="0" applyNumberFormat="1" applyFont="1" applyFill="1" applyBorder="1"/>
    <xf numFmtId="0" fontId="63" fillId="0" borderId="2" xfId="0" applyFont="1" applyBorder="1"/>
    <xf numFmtId="0" fontId="9" fillId="0" borderId="0" xfId="0" applyFont="1" applyAlignment="1">
      <alignment horizontal="center"/>
    </xf>
    <xf numFmtId="165" fontId="37" fillId="16" borderId="32" xfId="0" applyNumberFormat="1" applyFont="1" applyFill="1" applyBorder="1"/>
    <xf numFmtId="0" fontId="27" fillId="0" borderId="47" xfId="0" applyFont="1" applyBorder="1"/>
    <xf numFmtId="3" fontId="27" fillId="0" borderId="47" xfId="1" applyNumberFormat="1" applyFont="1" applyBorder="1" applyAlignment="1">
      <alignment horizontal="center"/>
    </xf>
    <xf numFmtId="3" fontId="27" fillId="0" borderId="48" xfId="1" applyNumberFormat="1" applyFont="1" applyBorder="1" applyAlignment="1">
      <alignment horizontal="center"/>
    </xf>
    <xf numFmtId="0" fontId="9" fillId="0" borderId="49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164" fontId="13" fillId="0" borderId="0" xfId="1" applyNumberFormat="1" applyFont="1" applyBorder="1" applyAlignment="1">
      <alignment horizontal="left"/>
    </xf>
    <xf numFmtId="164" fontId="13" fillId="0" borderId="51" xfId="1" applyNumberFormat="1" applyFont="1" applyBorder="1" applyAlignment="1">
      <alignment horizontal="left"/>
    </xf>
    <xf numFmtId="3" fontId="27" fillId="0" borderId="49" xfId="1" applyNumberFormat="1" applyFont="1" applyBorder="1" applyAlignment="1">
      <alignment horizontal="center"/>
    </xf>
    <xf numFmtId="0" fontId="44" fillId="0" borderId="0" xfId="0" applyFont="1"/>
    <xf numFmtId="0" fontId="44" fillId="0" borderId="51" xfId="0" applyFont="1" applyBorder="1"/>
    <xf numFmtId="164" fontId="13" fillId="0" borderId="46" xfId="1" applyNumberFormat="1" applyFont="1" applyBorder="1" applyAlignment="1">
      <alignment horizontal="left"/>
    </xf>
    <xf numFmtId="3" fontId="27" fillId="0" borderId="47" xfId="0" applyNumberFormat="1" applyFont="1" applyBorder="1" applyAlignment="1">
      <alignment horizontal="center"/>
    </xf>
    <xf numFmtId="3" fontId="27" fillId="0" borderId="49" xfId="0" applyNumberFormat="1" applyFont="1" applyBorder="1" applyAlignment="1">
      <alignment horizontal="center"/>
    </xf>
    <xf numFmtId="0" fontId="27" fillId="0" borderId="49" xfId="0" applyFont="1" applyBorder="1"/>
    <xf numFmtId="0" fontId="52" fillId="0" borderId="50" xfId="0" applyFont="1" applyBorder="1"/>
    <xf numFmtId="0" fontId="35" fillId="6" borderId="2" xfId="0" applyFont="1" applyFill="1" applyBorder="1"/>
    <xf numFmtId="3" fontId="35" fillId="6" borderId="2" xfId="0" applyNumberFormat="1" applyFont="1" applyFill="1" applyBorder="1" applyAlignment="1">
      <alignment horizontal="center"/>
    </xf>
    <xf numFmtId="3" fontId="35" fillId="6" borderId="0" xfId="0" applyNumberFormat="1" applyFont="1" applyFill="1" applyAlignment="1">
      <alignment horizontal="center"/>
    </xf>
    <xf numFmtId="3" fontId="35" fillId="6" borderId="5" xfId="0" applyNumberFormat="1" applyFont="1" applyFill="1" applyBorder="1" applyAlignment="1">
      <alignment horizontal="center"/>
    </xf>
    <xf numFmtId="3" fontId="35" fillId="0" borderId="46" xfId="1" applyNumberFormat="1" applyFont="1" applyBorder="1" applyAlignment="1">
      <alignment horizontal="center"/>
    </xf>
    <xf numFmtId="3" fontId="35" fillId="0" borderId="13" xfId="1" applyNumberFormat="1" applyFont="1" applyBorder="1" applyAlignment="1">
      <alignment horizontal="center"/>
    </xf>
    <xf numFmtId="165" fontId="37" fillId="16" borderId="33" xfId="0" applyNumberFormat="1" applyFont="1" applyFill="1" applyBorder="1"/>
    <xf numFmtId="164" fontId="12" fillId="0" borderId="48" xfId="1" applyNumberFormat="1" applyFont="1" applyBorder="1" applyAlignment="1">
      <alignment horizontal="left"/>
    </xf>
    <xf numFmtId="165" fontId="37" fillId="16" borderId="46" xfId="0" applyNumberFormat="1" applyFont="1" applyFill="1" applyBorder="1" applyAlignment="1">
      <alignment horizontal="right"/>
    </xf>
    <xf numFmtId="165" fontId="37" fillId="16" borderId="0" xfId="0" applyNumberFormat="1" applyFont="1" applyFill="1" applyAlignment="1">
      <alignment horizontal="right"/>
    </xf>
    <xf numFmtId="0" fontId="64" fillId="0" borderId="2" xfId="0" applyFont="1" applyBorder="1"/>
    <xf numFmtId="0" fontId="64" fillId="0" borderId="2" xfId="0" applyFont="1" applyBorder="1" applyAlignment="1">
      <alignment horizontal="center"/>
    </xf>
    <xf numFmtId="0" fontId="64" fillId="0" borderId="0" xfId="0" applyFont="1" applyAlignment="1">
      <alignment horizontal="center"/>
    </xf>
    <xf numFmtId="0" fontId="64" fillId="0" borderId="5" xfId="0" applyFont="1" applyBorder="1" applyAlignment="1">
      <alignment horizontal="center"/>
    </xf>
    <xf numFmtId="0" fontId="49" fillId="13" borderId="42" xfId="0" applyFont="1" applyFill="1" applyBorder="1"/>
    <xf numFmtId="0" fontId="49" fillId="13" borderId="43" xfId="0" applyFont="1" applyFill="1" applyBorder="1"/>
    <xf numFmtId="0" fontId="48" fillId="12" borderId="43" xfId="0" applyFont="1" applyFill="1" applyBorder="1"/>
    <xf numFmtId="3" fontId="24" fillId="0" borderId="42" xfId="0" applyNumberFormat="1" applyFont="1" applyBorder="1" applyAlignment="1">
      <alignment horizontal="center"/>
    </xf>
    <xf numFmtId="3" fontId="24" fillId="0" borderId="43" xfId="0" applyNumberFormat="1" applyFont="1" applyBorder="1" applyAlignment="1">
      <alignment horizontal="center"/>
    </xf>
    <xf numFmtId="3" fontId="0" fillId="0" borderId="2" xfId="0" applyNumberFormat="1" applyBorder="1"/>
    <xf numFmtId="3" fontId="0" fillId="0" borderId="5" xfId="0" applyNumberFormat="1" applyBorder="1"/>
    <xf numFmtId="0" fontId="62" fillId="0" borderId="0" xfId="0" applyFont="1" applyAlignment="1">
      <alignment horizontal="left" indent="1"/>
    </xf>
    <xf numFmtId="3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 indent="1"/>
    </xf>
    <xf numFmtId="3" fontId="5" fillId="3" borderId="52" xfId="0" applyNumberFormat="1" applyFont="1" applyFill="1" applyBorder="1" applyAlignment="1">
      <alignment horizontal="center" vertical="center"/>
    </xf>
    <xf numFmtId="0" fontId="5" fillId="3" borderId="52" xfId="0" applyFont="1" applyFill="1" applyBorder="1" applyAlignment="1">
      <alignment horizontal="left" vertical="center" indent="1"/>
    </xf>
    <xf numFmtId="0" fontId="8" fillId="5" borderId="53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left" vertical="distributed" indent="1"/>
    </xf>
    <xf numFmtId="0" fontId="8" fillId="5" borderId="53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3" fontId="66" fillId="0" borderId="2" xfId="1" applyNumberFormat="1" applyFont="1" applyBorder="1" applyAlignment="1">
      <alignment horizontal="center"/>
    </xf>
    <xf numFmtId="3" fontId="66" fillId="0" borderId="0" xfId="1" applyNumberFormat="1" applyFont="1" applyBorder="1" applyAlignment="1">
      <alignment horizontal="center"/>
    </xf>
    <xf numFmtId="3" fontId="66" fillId="0" borderId="5" xfId="1" applyNumberFormat="1" applyFont="1" applyBorder="1" applyAlignment="1">
      <alignment horizontal="center"/>
    </xf>
    <xf numFmtId="0" fontId="67" fillId="0" borderId="2" xfId="0" applyFont="1" applyBorder="1"/>
    <xf numFmtId="3" fontId="16" fillId="0" borderId="0" xfId="1" applyNumberFormat="1" applyFont="1" applyBorder="1" applyAlignment="1">
      <alignment horizontal="center"/>
    </xf>
    <xf numFmtId="0" fontId="18" fillId="0" borderId="51" xfId="0" applyFont="1" applyBorder="1"/>
    <xf numFmtId="3" fontId="7" fillId="4" borderId="0" xfId="0" applyNumberFormat="1" applyFont="1" applyFill="1"/>
    <xf numFmtId="4" fontId="7" fillId="0" borderId="2" xfId="0" applyNumberFormat="1" applyFont="1" applyBorder="1"/>
    <xf numFmtId="3" fontId="11" fillId="0" borderId="26" xfId="1" applyNumberFormat="1" applyFont="1" applyBorder="1" applyAlignment="1">
      <alignment horizontal="center"/>
    </xf>
    <xf numFmtId="164" fontId="69" fillId="7" borderId="30" xfId="1" applyNumberFormat="1" applyFont="1" applyFill="1" applyBorder="1" applyAlignment="1">
      <alignment horizontal="left"/>
    </xf>
    <xf numFmtId="3" fontId="11" fillId="0" borderId="5" xfId="0" applyNumberFormat="1" applyFont="1" applyBorder="1" applyAlignment="1">
      <alignment horizontal="center"/>
    </xf>
    <xf numFmtId="3" fontId="16" fillId="0" borderId="5" xfId="1" applyNumberFormat="1" applyFont="1" applyBorder="1" applyAlignment="1">
      <alignment horizontal="center"/>
    </xf>
    <xf numFmtId="164" fontId="59" fillId="0" borderId="30" xfId="1" applyNumberFormat="1" applyFont="1" applyBorder="1" applyAlignment="1">
      <alignment horizontal="left"/>
    </xf>
    <xf numFmtId="10" fontId="0" fillId="0" borderId="0" xfId="0" applyNumberFormat="1"/>
    <xf numFmtId="9" fontId="7" fillId="4" borderId="0" xfId="0" applyNumberFormat="1" applyFont="1" applyFill="1"/>
    <xf numFmtId="164" fontId="70" fillId="7" borderId="5" xfId="1" applyNumberFormat="1" applyFont="1" applyFill="1" applyBorder="1" applyAlignment="1">
      <alignment horizontal="left"/>
    </xf>
    <xf numFmtId="3" fontId="16" fillId="0" borderId="0" xfId="0" applyNumberFormat="1" applyFont="1" applyAlignment="1">
      <alignment horizontal="center"/>
    </xf>
    <xf numFmtId="3" fontId="16" fillId="0" borderId="5" xfId="0" applyNumberFormat="1" applyFont="1" applyBorder="1" applyAlignment="1">
      <alignment horizontal="center"/>
    </xf>
    <xf numFmtId="0" fontId="7" fillId="17" borderId="0" xfId="0" applyFont="1" applyFill="1"/>
    <xf numFmtId="0" fontId="7" fillId="18" borderId="0" xfId="0" applyFont="1" applyFill="1"/>
    <xf numFmtId="0" fontId="66" fillId="0" borderId="2" xfId="0" applyFont="1" applyBorder="1"/>
    <xf numFmtId="164" fontId="13" fillId="8" borderId="5" xfId="1" applyNumberFormat="1" applyFont="1" applyFill="1" applyBorder="1" applyAlignment="1">
      <alignment horizontal="left"/>
    </xf>
    <xf numFmtId="164" fontId="29" fillId="8" borderId="5" xfId="1" applyNumberFormat="1" applyFont="1" applyFill="1" applyBorder="1" applyAlignment="1">
      <alignment horizontal="left"/>
    </xf>
    <xf numFmtId="164" fontId="0" fillId="0" borderId="0" xfId="1" applyNumberFormat="1" applyFont="1"/>
    <xf numFmtId="164" fontId="46" fillId="8" borderId="5" xfId="1" applyNumberFormat="1" applyFont="1" applyFill="1" applyBorder="1" applyAlignment="1">
      <alignment horizontal="left"/>
    </xf>
    <xf numFmtId="0" fontId="30" fillId="0" borderId="2" xfId="0" applyFont="1" applyBorder="1" applyAlignment="1">
      <alignment horizontal="left" vertical="center" indent="3"/>
    </xf>
    <xf numFmtId="3" fontId="14" fillId="4" borderId="2" xfId="1" applyNumberFormat="1" applyFont="1" applyFill="1" applyBorder="1" applyAlignment="1">
      <alignment horizontal="center" vertical="center"/>
    </xf>
    <xf numFmtId="3" fontId="14" fillId="4" borderId="0" xfId="1" applyNumberFormat="1" applyFont="1" applyFill="1" applyBorder="1" applyAlignment="1">
      <alignment horizontal="center" vertical="center"/>
    </xf>
    <xf numFmtId="3" fontId="14" fillId="4" borderId="5" xfId="1" applyNumberFormat="1" applyFont="1" applyFill="1" applyBorder="1" applyAlignment="1">
      <alignment horizontal="center" vertical="center"/>
    </xf>
    <xf numFmtId="3" fontId="32" fillId="8" borderId="2" xfId="1" applyNumberFormat="1" applyFont="1" applyFill="1" applyBorder="1" applyAlignment="1">
      <alignment horizontal="center"/>
    </xf>
    <xf numFmtId="3" fontId="32" fillId="8" borderId="0" xfId="1" applyNumberFormat="1" applyFont="1" applyFill="1" applyBorder="1" applyAlignment="1">
      <alignment horizontal="center"/>
    </xf>
    <xf numFmtId="3" fontId="32" fillId="8" borderId="5" xfId="1" applyNumberFormat="1" applyFont="1" applyFill="1" applyBorder="1" applyAlignment="1">
      <alignment horizontal="center"/>
    </xf>
    <xf numFmtId="164" fontId="13" fillId="8" borderId="5" xfId="1" quotePrefix="1" applyNumberFormat="1" applyFont="1" applyFill="1" applyBorder="1" applyAlignment="1">
      <alignment horizontal="left"/>
    </xf>
    <xf numFmtId="164" fontId="71" fillId="7" borderId="5" xfId="1" applyNumberFormat="1" applyFont="1" applyFill="1" applyBorder="1" applyAlignment="1"/>
    <xf numFmtId="10" fontId="35" fillId="4" borderId="2" xfId="2" applyNumberFormat="1" applyFont="1" applyFill="1" applyBorder="1" applyAlignment="1">
      <alignment horizontal="center"/>
    </xf>
    <xf numFmtId="10" fontId="35" fillId="4" borderId="0" xfId="2" applyNumberFormat="1" applyFont="1" applyFill="1" applyBorder="1" applyAlignment="1">
      <alignment horizontal="center"/>
    </xf>
    <xf numFmtId="10" fontId="24" fillId="0" borderId="2" xfId="2" applyNumberFormat="1" applyFont="1" applyBorder="1" applyAlignment="1">
      <alignment horizontal="center"/>
    </xf>
    <xf numFmtId="10" fontId="24" fillId="0" borderId="0" xfId="2" applyNumberFormat="1" applyFont="1" applyBorder="1" applyAlignment="1">
      <alignment horizontal="center"/>
    </xf>
    <xf numFmtId="10" fontId="24" fillId="0" borderId="5" xfId="2" applyNumberFormat="1" applyFont="1" applyBorder="1" applyAlignment="1">
      <alignment horizontal="center"/>
    </xf>
    <xf numFmtId="3" fontId="37" fillId="0" borderId="2" xfId="1" applyNumberFormat="1" applyFont="1" applyBorder="1" applyAlignment="1">
      <alignment horizontal="center"/>
    </xf>
    <xf numFmtId="10" fontId="37" fillId="0" borderId="2" xfId="2" applyNumberFormat="1" applyFont="1" applyBorder="1" applyAlignment="1">
      <alignment horizontal="center"/>
    </xf>
    <xf numFmtId="164" fontId="46" fillId="7" borderId="5" xfId="1" applyNumberFormat="1" applyFont="1" applyFill="1" applyBorder="1" applyAlignment="1">
      <alignment horizontal="left"/>
    </xf>
    <xf numFmtId="164" fontId="72" fillId="7" borderId="5" xfId="1" applyNumberFormat="1" applyFont="1" applyFill="1" applyBorder="1" applyAlignment="1">
      <alignment horizontal="left"/>
    </xf>
    <xf numFmtId="3" fontId="43" fillId="0" borderId="2" xfId="0" applyNumberFormat="1" applyFont="1" applyBorder="1" applyAlignment="1">
      <alignment horizontal="center"/>
    </xf>
    <xf numFmtId="3" fontId="43" fillId="0" borderId="0" xfId="0" applyNumberFormat="1" applyFont="1" applyAlignment="1">
      <alignment horizontal="center"/>
    </xf>
    <xf numFmtId="3" fontId="43" fillId="0" borderId="5" xfId="0" applyNumberFormat="1" applyFont="1" applyBorder="1" applyAlignment="1">
      <alignment horizontal="center"/>
    </xf>
    <xf numFmtId="3" fontId="45" fillId="0" borderId="2" xfId="0" applyNumberFormat="1" applyFont="1" applyBorder="1" applyAlignment="1">
      <alignment horizontal="center"/>
    </xf>
    <xf numFmtId="3" fontId="45" fillId="0" borderId="0" xfId="0" applyNumberFormat="1" applyFont="1" applyAlignment="1">
      <alignment horizontal="center"/>
    </xf>
    <xf numFmtId="3" fontId="45" fillId="0" borderId="5" xfId="0" applyNumberFormat="1" applyFont="1" applyBorder="1" applyAlignment="1">
      <alignment horizontal="center"/>
    </xf>
    <xf numFmtId="10" fontId="11" fillId="4" borderId="0" xfId="0" applyNumberFormat="1" applyFont="1" applyFill="1"/>
    <xf numFmtId="3" fontId="52" fillId="0" borderId="14" xfId="0" applyNumberFormat="1" applyFont="1" applyBorder="1" applyAlignment="1">
      <alignment horizontal="center"/>
    </xf>
    <xf numFmtId="3" fontId="52" fillId="0" borderId="15" xfId="0" applyNumberFormat="1" applyFont="1" applyBorder="1" applyAlignment="1">
      <alignment horizontal="center"/>
    </xf>
    <xf numFmtId="3" fontId="52" fillId="0" borderId="26" xfId="0" applyNumberFormat="1" applyFont="1" applyBorder="1" applyAlignment="1">
      <alignment horizontal="center"/>
    </xf>
    <xf numFmtId="3" fontId="50" fillId="0" borderId="2" xfId="1" applyNumberFormat="1" applyFont="1" applyBorder="1" applyAlignment="1">
      <alignment horizontal="center"/>
    </xf>
    <xf numFmtId="3" fontId="50" fillId="0" borderId="0" xfId="1" applyNumberFormat="1" applyFont="1" applyBorder="1" applyAlignment="1">
      <alignment horizontal="center"/>
    </xf>
    <xf numFmtId="3" fontId="50" fillId="0" borderId="5" xfId="1" applyNumberFormat="1" applyFont="1" applyBorder="1" applyAlignment="1">
      <alignment horizontal="center"/>
    </xf>
    <xf numFmtId="3" fontId="50" fillId="0" borderId="2" xfId="1" applyNumberFormat="1" applyFont="1" applyBorder="1" applyAlignment="1">
      <alignment horizontal="center" vertical="center"/>
    </xf>
    <xf numFmtId="3" fontId="50" fillId="0" borderId="0" xfId="1" applyNumberFormat="1" applyFont="1" applyBorder="1" applyAlignment="1">
      <alignment horizontal="center" vertical="center"/>
    </xf>
    <xf numFmtId="3" fontId="50" fillId="0" borderId="5" xfId="1" applyNumberFormat="1" applyFont="1" applyBorder="1" applyAlignment="1">
      <alignment horizontal="center" vertical="center"/>
    </xf>
    <xf numFmtId="3" fontId="50" fillId="0" borderId="2" xfId="0" applyNumberFormat="1" applyFont="1" applyBorder="1"/>
    <xf numFmtId="3" fontId="57" fillId="0" borderId="0" xfId="0" applyNumberFormat="1" applyFont="1" applyAlignment="1">
      <alignment horizontal="center"/>
    </xf>
    <xf numFmtId="3" fontId="35" fillId="0" borderId="27" xfId="0" applyNumberFormat="1" applyFont="1" applyBorder="1" applyAlignment="1">
      <alignment horizontal="center"/>
    </xf>
    <xf numFmtId="3" fontId="35" fillId="0" borderId="28" xfId="0" applyNumberFormat="1" applyFont="1" applyBorder="1" applyAlignment="1">
      <alignment horizontal="center"/>
    </xf>
    <xf numFmtId="3" fontId="50" fillId="0" borderId="2" xfId="2" applyNumberFormat="1" applyFont="1" applyBorder="1" applyAlignment="1">
      <alignment horizontal="center"/>
    </xf>
    <xf numFmtId="3" fontId="50" fillId="0" borderId="0" xfId="2" applyNumberFormat="1" applyFont="1" applyBorder="1" applyAlignment="1">
      <alignment horizontal="center"/>
    </xf>
    <xf numFmtId="3" fontId="50" fillId="0" borderId="5" xfId="2" applyNumberFormat="1" applyFont="1" applyBorder="1" applyAlignment="1">
      <alignment horizontal="center"/>
    </xf>
    <xf numFmtId="164" fontId="71" fillId="0" borderId="5" xfId="1" applyNumberFormat="1" applyFont="1" applyBorder="1" applyAlignment="1">
      <alignment horizontal="left"/>
    </xf>
    <xf numFmtId="3" fontId="43" fillId="0" borderId="14" xfId="0" applyNumberFormat="1" applyFont="1" applyBorder="1" applyAlignment="1">
      <alignment horizontal="center"/>
    </xf>
    <xf numFmtId="3" fontId="43" fillId="0" borderId="15" xfId="0" applyNumberFormat="1" applyFont="1" applyBorder="1" applyAlignment="1">
      <alignment horizontal="center"/>
    </xf>
    <xf numFmtId="3" fontId="43" fillId="0" borderId="26" xfId="0" applyNumberFormat="1" applyFont="1" applyBorder="1" applyAlignment="1">
      <alignment horizontal="center"/>
    </xf>
    <xf numFmtId="3" fontId="54" fillId="11" borderId="2" xfId="0" applyNumberFormat="1" applyFont="1" applyFill="1" applyBorder="1" applyAlignment="1">
      <alignment horizontal="center"/>
    </xf>
    <xf numFmtId="3" fontId="54" fillId="11" borderId="0" xfId="0" applyNumberFormat="1" applyFont="1" applyFill="1" applyAlignment="1">
      <alignment horizontal="center"/>
    </xf>
    <xf numFmtId="0" fontId="54" fillId="11" borderId="5" xfId="0" applyFont="1" applyFill="1" applyBorder="1" applyAlignment="1">
      <alignment horizontal="center"/>
    </xf>
    <xf numFmtId="3" fontId="56" fillId="0" borderId="14" xfId="0" applyNumberFormat="1" applyFont="1" applyBorder="1" applyAlignment="1">
      <alignment horizontal="center"/>
    </xf>
    <xf numFmtId="3" fontId="56" fillId="0" borderId="15" xfId="0" applyNumberFormat="1" applyFont="1" applyBorder="1" applyAlignment="1">
      <alignment horizontal="center"/>
    </xf>
    <xf numFmtId="3" fontId="56" fillId="0" borderId="26" xfId="0" applyNumberFormat="1" applyFont="1" applyBorder="1" applyAlignment="1">
      <alignment horizontal="center"/>
    </xf>
    <xf numFmtId="3" fontId="73" fillId="0" borderId="5" xfId="0" applyNumberFormat="1" applyFont="1" applyBorder="1" applyAlignment="1">
      <alignment horizontal="left"/>
    </xf>
    <xf numFmtId="3" fontId="74" fillId="0" borderId="0" xfId="0" applyNumberFormat="1" applyFont="1" applyAlignment="1">
      <alignment horizontal="center"/>
    </xf>
    <xf numFmtId="3" fontId="56" fillId="0" borderId="0" xfId="0" applyNumberFormat="1" applyFont="1" applyAlignment="1">
      <alignment horizontal="center"/>
    </xf>
    <xf numFmtId="3" fontId="56" fillId="0" borderId="5" xfId="0" applyNumberFormat="1" applyFont="1" applyBorder="1" applyAlignment="1">
      <alignment horizontal="center"/>
    </xf>
    <xf numFmtId="164" fontId="55" fillId="0" borderId="5" xfId="1" applyNumberFormat="1" applyFont="1" applyBorder="1" applyAlignment="1">
      <alignment horizontal="center"/>
    </xf>
    <xf numFmtId="164" fontId="28" fillId="4" borderId="5" xfId="1" applyNumberFormat="1" applyFont="1" applyFill="1" applyBorder="1" applyAlignment="1">
      <alignment horizontal="left" indent="1"/>
    </xf>
    <xf numFmtId="3" fontId="57" fillId="0" borderId="5" xfId="1" applyNumberFormat="1" applyFont="1" applyFill="1" applyBorder="1" applyAlignment="1">
      <alignment horizontal="center"/>
    </xf>
    <xf numFmtId="0" fontId="59" fillId="0" borderId="5" xfId="0" applyFont="1" applyBorder="1"/>
    <xf numFmtId="3" fontId="35" fillId="0" borderId="0" xfId="1" applyNumberFormat="1" applyFont="1" applyAlignment="1">
      <alignment horizontal="center"/>
    </xf>
    <xf numFmtId="0" fontId="61" fillId="0" borderId="5" xfId="0" applyFont="1" applyBorder="1" applyAlignment="1">
      <alignment horizontal="left" indent="1"/>
    </xf>
    <xf numFmtId="9" fontId="35" fillId="0" borderId="2" xfId="2" applyFont="1" applyBorder="1" applyAlignment="1">
      <alignment horizontal="center"/>
    </xf>
    <xf numFmtId="9" fontId="7" fillId="0" borderId="2" xfId="0" applyNumberFormat="1" applyFont="1" applyBorder="1" applyAlignment="1">
      <alignment horizontal="center"/>
    </xf>
    <xf numFmtId="9" fontId="58" fillId="0" borderId="0" xfId="0" applyNumberFormat="1" applyFont="1" applyAlignment="1">
      <alignment horizontal="center"/>
    </xf>
    <xf numFmtId="9" fontId="58" fillId="0" borderId="2" xfId="0" applyNumberFormat="1" applyFont="1" applyBorder="1" applyAlignment="1">
      <alignment horizontal="center"/>
    </xf>
    <xf numFmtId="0" fontId="75" fillId="12" borderId="2" xfId="0" applyFont="1" applyFill="1" applyBorder="1"/>
    <xf numFmtId="0" fontId="75" fillId="12" borderId="0" xfId="0" applyFont="1" applyFill="1"/>
    <xf numFmtId="0" fontId="18" fillId="0" borderId="30" xfId="0" applyFont="1" applyBorder="1"/>
    <xf numFmtId="3" fontId="35" fillId="0" borderId="42" xfId="1" applyNumberFormat="1" applyFont="1" applyBorder="1" applyAlignment="1">
      <alignment horizontal="center"/>
    </xf>
    <xf numFmtId="3" fontId="35" fillId="0" borderId="44" xfId="1" applyNumberFormat="1" applyFont="1" applyBorder="1" applyAlignment="1">
      <alignment horizontal="center"/>
    </xf>
    <xf numFmtId="164" fontId="13" fillId="0" borderId="44" xfId="1" applyNumberFormat="1" applyFont="1" applyBorder="1" applyAlignment="1">
      <alignment horizontal="left"/>
    </xf>
    <xf numFmtId="0" fontId="76" fillId="0" borderId="2" xfId="0" applyFont="1" applyBorder="1"/>
    <xf numFmtId="164" fontId="77" fillId="0" borderId="48" xfId="1" applyNumberFormat="1" applyFont="1" applyBorder="1" applyAlignment="1">
      <alignment horizontal="left"/>
    </xf>
    <xf numFmtId="164" fontId="78" fillId="0" borderId="48" xfId="1" applyNumberFormat="1" applyFont="1" applyBorder="1" applyAlignment="1">
      <alignment horizontal="left"/>
    </xf>
    <xf numFmtId="164" fontId="22" fillId="0" borderId="54" xfId="1" applyNumberFormat="1" applyFont="1" applyBorder="1" applyAlignment="1">
      <alignment horizontal="left"/>
    </xf>
    <xf numFmtId="3" fontId="52" fillId="0" borderId="47" xfId="1" applyNumberFormat="1" applyFont="1" applyBorder="1" applyAlignment="1">
      <alignment horizontal="center"/>
    </xf>
    <xf numFmtId="3" fontId="52" fillId="0" borderId="49" xfId="1" applyNumberFormat="1" applyFont="1" applyBorder="1" applyAlignment="1">
      <alignment horizontal="center"/>
    </xf>
    <xf numFmtId="164" fontId="22" fillId="0" borderId="48" xfId="1" applyNumberFormat="1" applyFont="1" applyBorder="1" applyAlignment="1">
      <alignment horizontal="left"/>
    </xf>
    <xf numFmtId="164" fontId="77" fillId="0" borderId="5" xfId="1" applyNumberFormat="1" applyFont="1" applyBorder="1" applyAlignment="1">
      <alignment horizontal="left"/>
    </xf>
    <xf numFmtId="3" fontId="79" fillId="0" borderId="47" xfId="1" applyNumberFormat="1" applyFont="1" applyBorder="1" applyAlignment="1">
      <alignment horizontal="center"/>
    </xf>
    <xf numFmtId="164" fontId="29" fillId="0" borderId="48" xfId="1" applyNumberFormat="1" applyFont="1" applyBorder="1" applyAlignment="1">
      <alignment horizontal="left"/>
    </xf>
    <xf numFmtId="3" fontId="0" fillId="0" borderId="2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52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8" fillId="2" borderId="10" xfId="0" applyFont="1" applyFill="1" applyBorder="1"/>
    <xf numFmtId="0" fontId="8" fillId="5" borderId="6" xfId="0" applyFont="1" applyFill="1" applyBorder="1" applyAlignment="1">
      <alignment horizontal="center"/>
    </xf>
    <xf numFmtId="0" fontId="9" fillId="6" borderId="30" xfId="0" applyFont="1" applyFill="1" applyBorder="1"/>
    <xf numFmtId="0" fontId="9" fillId="6" borderId="5" xfId="0" applyFont="1" applyFill="1" applyBorder="1" applyAlignment="1">
      <alignment horizontal="center"/>
    </xf>
    <xf numFmtId="0" fontId="7" fillId="0" borderId="30" xfId="0" applyFont="1" applyBorder="1"/>
    <xf numFmtId="164" fontId="66" fillId="14" borderId="2" xfId="0" applyNumberFormat="1" applyFont="1" applyFill="1" applyBorder="1" applyAlignment="1">
      <alignment horizontal="center"/>
    </xf>
    <xf numFmtId="164" fontId="66" fillId="14" borderId="0" xfId="0" applyNumberFormat="1" applyFont="1" applyFill="1" applyAlignment="1">
      <alignment horizontal="center"/>
    </xf>
    <xf numFmtId="164" fontId="66" fillId="0" borderId="5" xfId="1" applyNumberFormat="1" applyFont="1" applyBorder="1" applyAlignment="1">
      <alignment horizontal="center"/>
    </xf>
    <xf numFmtId="164" fontId="80" fillId="7" borderId="30" xfId="1" applyNumberFormat="1" applyFont="1" applyFill="1" applyBorder="1" applyAlignment="1">
      <alignment horizontal="left"/>
    </xf>
    <xf numFmtId="3" fontId="58" fillId="8" borderId="2" xfId="1" applyNumberFormat="1" applyFont="1" applyFill="1" applyBorder="1" applyAlignment="1">
      <alignment horizontal="right"/>
    </xf>
    <xf numFmtId="3" fontId="58" fillId="8" borderId="0" xfId="1" applyNumberFormat="1" applyFont="1" applyFill="1" applyAlignment="1">
      <alignment horizontal="right"/>
    </xf>
    <xf numFmtId="3" fontId="58" fillId="8" borderId="5" xfId="1" applyNumberFormat="1" applyFont="1" applyFill="1" applyBorder="1" applyAlignment="1">
      <alignment horizontal="right"/>
    </xf>
    <xf numFmtId="164" fontId="58" fillId="0" borderId="0" xfId="1" applyNumberFormat="1" applyFont="1" applyAlignment="1">
      <alignment horizontal="center"/>
    </xf>
    <xf numFmtId="164" fontId="81" fillId="14" borderId="0" xfId="0" applyNumberFormat="1" applyFont="1" applyFill="1" applyAlignment="1">
      <alignment horizontal="center"/>
    </xf>
    <xf numFmtId="164" fontId="81" fillId="14" borderId="0" xfId="1" applyNumberFormat="1" applyFont="1" applyFill="1" applyAlignment="1">
      <alignment horizontal="center"/>
    </xf>
    <xf numFmtId="0" fontId="14" fillId="0" borderId="30" xfId="0" applyFont="1" applyBorder="1"/>
    <xf numFmtId="164" fontId="7" fillId="0" borderId="2" xfId="1" applyNumberFormat="1" applyFont="1" applyBorder="1" applyAlignment="1">
      <alignment horizontal="center"/>
    </xf>
    <xf numFmtId="164" fontId="7" fillId="0" borderId="5" xfId="1" applyNumberFormat="1" applyFont="1" applyBorder="1" applyAlignment="1">
      <alignment horizontal="center"/>
    </xf>
    <xf numFmtId="3" fontId="58" fillId="8" borderId="0" xfId="1" applyNumberFormat="1" applyFont="1" applyFill="1" applyBorder="1" applyAlignment="1">
      <alignment horizontal="right"/>
    </xf>
    <xf numFmtId="164" fontId="7" fillId="0" borderId="0" xfId="1" applyNumberFormat="1" applyFont="1" applyAlignment="1">
      <alignment horizontal="center"/>
    </xf>
    <xf numFmtId="164" fontId="82" fillId="0" borderId="30" xfId="1" applyNumberFormat="1" applyFont="1" applyBorder="1" applyAlignment="1">
      <alignment horizontal="left"/>
    </xf>
    <xf numFmtId="164" fontId="82" fillId="0" borderId="5" xfId="1" applyNumberFormat="1" applyFont="1" applyBorder="1" applyAlignment="1">
      <alignment horizontal="left"/>
    </xf>
    <xf numFmtId="0" fontId="66" fillId="0" borderId="30" xfId="0" applyFont="1" applyBorder="1"/>
    <xf numFmtId="3" fontId="19" fillId="0" borderId="2" xfId="1" applyNumberFormat="1" applyFont="1" applyBorder="1" applyAlignment="1">
      <alignment horizontal="center"/>
    </xf>
    <xf numFmtId="3" fontId="19" fillId="0" borderId="0" xfId="1" applyNumberFormat="1" applyFont="1" applyAlignment="1">
      <alignment horizontal="center"/>
    </xf>
    <xf numFmtId="164" fontId="11" fillId="0" borderId="2" xfId="1" applyNumberFormat="1" applyFont="1" applyBorder="1" applyAlignment="1">
      <alignment horizontal="center"/>
    </xf>
    <xf numFmtId="164" fontId="11" fillId="0" borderId="0" xfId="1" applyNumberFormat="1" applyFont="1" applyBorder="1" applyAlignment="1">
      <alignment horizontal="center"/>
    </xf>
    <xf numFmtId="0" fontId="11" fillId="0" borderId="30" xfId="0" applyFont="1" applyBorder="1"/>
    <xf numFmtId="0" fontId="16" fillId="0" borderId="30" xfId="0" applyFont="1" applyBorder="1" applyAlignment="1">
      <alignment horizontal="left" indent="1"/>
    </xf>
    <xf numFmtId="3" fontId="17" fillId="0" borderId="2" xfId="1" applyNumberFormat="1" applyFont="1" applyBorder="1" applyAlignment="1">
      <alignment horizontal="center"/>
    </xf>
    <xf numFmtId="3" fontId="17" fillId="0" borderId="0" xfId="1" applyNumberFormat="1" applyFont="1" applyAlignment="1">
      <alignment horizontal="center"/>
    </xf>
    <xf numFmtId="164" fontId="80" fillId="7" borderId="5" xfId="1" applyNumberFormat="1" applyFont="1" applyFill="1" applyBorder="1" applyAlignment="1">
      <alignment horizontal="left"/>
    </xf>
    <xf numFmtId="0" fontId="11" fillId="14" borderId="2" xfId="0" applyFont="1" applyFill="1" applyBorder="1"/>
    <xf numFmtId="164" fontId="11" fillId="14" borderId="0" xfId="1" applyNumberFormat="1" applyFont="1" applyFill="1" applyBorder="1" applyAlignment="1">
      <alignment horizontal="center"/>
    </xf>
    <xf numFmtId="164" fontId="11" fillId="0" borderId="14" xfId="1" applyNumberFormat="1" applyFont="1" applyBorder="1" applyAlignment="1">
      <alignment horizontal="center"/>
    </xf>
    <xf numFmtId="164" fontId="11" fillId="0" borderId="15" xfId="1" applyNumberFormat="1" applyFont="1" applyBorder="1" applyAlignment="1">
      <alignment horizontal="center"/>
    </xf>
    <xf numFmtId="164" fontId="24" fillId="0" borderId="17" xfId="0" applyNumberFormat="1" applyFont="1" applyBorder="1" applyAlignment="1">
      <alignment horizontal="center"/>
    </xf>
    <xf numFmtId="164" fontId="24" fillId="0" borderId="18" xfId="0" applyNumberFormat="1" applyFont="1" applyBorder="1" applyAlignment="1">
      <alignment horizontal="center"/>
    </xf>
    <xf numFmtId="0" fontId="24" fillId="0" borderId="18" xfId="0" applyFont="1" applyBorder="1" applyAlignment="1">
      <alignment horizontal="center"/>
    </xf>
    <xf numFmtId="164" fontId="7" fillId="0" borderId="0" xfId="1" applyNumberFormat="1" applyFont="1" applyFill="1" applyAlignment="1">
      <alignment horizontal="center"/>
    </xf>
    <xf numFmtId="164" fontId="7" fillId="0" borderId="0" xfId="1" applyNumberFormat="1" applyFont="1" applyFill="1" applyBorder="1" applyAlignment="1">
      <alignment horizontal="center"/>
    </xf>
    <xf numFmtId="0" fontId="7" fillId="14" borderId="2" xfId="0" applyFont="1" applyFill="1" applyBorder="1"/>
    <xf numFmtId="164" fontId="7" fillId="14" borderId="0" xfId="1" applyNumberFormat="1" applyFont="1" applyFill="1" applyAlignment="1">
      <alignment horizontal="center"/>
    </xf>
    <xf numFmtId="164" fontId="7" fillId="0" borderId="2" xfId="1" applyNumberFormat="1" applyFont="1" applyFill="1" applyBorder="1" applyAlignment="1">
      <alignment horizontal="center"/>
    </xf>
    <xf numFmtId="164" fontId="7" fillId="0" borderId="5" xfId="1" applyNumberFormat="1" applyFont="1" applyFill="1" applyBorder="1" applyAlignment="1">
      <alignment horizontal="center"/>
    </xf>
    <xf numFmtId="166" fontId="0" fillId="0" borderId="0" xfId="2" applyNumberFormat="1" applyFont="1"/>
    <xf numFmtId="164" fontId="11" fillId="14" borderId="2" xfId="1" applyNumberFormat="1" applyFont="1" applyFill="1" applyBorder="1" applyAlignment="1">
      <alignment horizontal="center"/>
    </xf>
    <xf numFmtId="164" fontId="11" fillId="14" borderId="0" xfId="1" applyNumberFormat="1" applyFont="1" applyFill="1" applyAlignment="1">
      <alignment horizontal="center"/>
    </xf>
    <xf numFmtId="164" fontId="11" fillId="0" borderId="5" xfId="1" applyNumberFormat="1" applyFont="1" applyBorder="1" applyAlignment="1">
      <alignment horizontal="center"/>
    </xf>
    <xf numFmtId="164" fontId="11" fillId="0" borderId="0" xfId="1" applyNumberFormat="1" applyFont="1" applyAlignment="1">
      <alignment horizontal="center"/>
    </xf>
    <xf numFmtId="164" fontId="11" fillId="0" borderId="5" xfId="1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83" fillId="6" borderId="5" xfId="0" applyFont="1" applyFill="1" applyBorder="1" applyAlignment="1">
      <alignment horizontal="center"/>
    </xf>
    <xf numFmtId="0" fontId="84" fillId="6" borderId="5" xfId="0" applyFont="1" applyFill="1" applyBorder="1" applyAlignment="1">
      <alignment horizontal="left" indent="1"/>
    </xf>
    <xf numFmtId="0" fontId="58" fillId="0" borderId="5" xfId="0" applyFont="1" applyBorder="1" applyAlignment="1">
      <alignment horizontal="center"/>
    </xf>
    <xf numFmtId="0" fontId="9" fillId="5" borderId="30" xfId="0" applyFont="1" applyFill="1" applyBorder="1"/>
    <xf numFmtId="0" fontId="9" fillId="5" borderId="0" xfId="0" applyFont="1" applyFill="1" applyAlignment="1">
      <alignment horizontal="center"/>
    </xf>
    <xf numFmtId="0" fontId="9" fillId="5" borderId="5" xfId="0" applyFont="1" applyFill="1" applyBorder="1" applyAlignment="1">
      <alignment horizontal="center"/>
    </xf>
    <xf numFmtId="164" fontId="25" fillId="9" borderId="21" xfId="0" applyNumberFormat="1" applyFont="1" applyFill="1" applyBorder="1"/>
    <xf numFmtId="164" fontId="25" fillId="9" borderId="22" xfId="0" applyNumberFormat="1" applyFont="1" applyFill="1" applyBorder="1"/>
    <xf numFmtId="164" fontId="85" fillId="9" borderId="22" xfId="0" applyNumberFormat="1" applyFont="1" applyFill="1" applyBorder="1" applyAlignment="1">
      <alignment horizontal="left" indent="1"/>
    </xf>
    <xf numFmtId="0" fontId="27" fillId="0" borderId="30" xfId="0" applyFont="1" applyBorder="1" applyAlignment="1">
      <alignment horizontal="left" indent="1"/>
    </xf>
    <xf numFmtId="0" fontId="27" fillId="14" borderId="2" xfId="0" applyFont="1" applyFill="1" applyBorder="1" applyAlignment="1">
      <alignment horizontal="right" indent="1"/>
    </xf>
    <xf numFmtId="164" fontId="27" fillId="14" borderId="0" xfId="1" applyNumberFormat="1" applyFont="1" applyFill="1" applyAlignment="1">
      <alignment horizontal="center"/>
    </xf>
    <xf numFmtId="164" fontId="27" fillId="0" borderId="5" xfId="1" applyNumberFormat="1" applyFont="1" applyBorder="1" applyAlignment="1">
      <alignment horizontal="center"/>
    </xf>
    <xf numFmtId="164" fontId="27" fillId="0" borderId="2" xfId="1" applyNumberFormat="1" applyFont="1" applyBorder="1" applyAlignment="1">
      <alignment horizontal="center"/>
    </xf>
    <xf numFmtId="164" fontId="27" fillId="0" borderId="0" xfId="1" applyNumberFormat="1" applyFont="1" applyAlignment="1">
      <alignment horizontal="center"/>
    </xf>
    <xf numFmtId="0" fontId="14" fillId="8" borderId="30" xfId="0" applyFont="1" applyFill="1" applyBorder="1" applyAlignment="1">
      <alignment horizontal="left" indent="2"/>
    </xf>
    <xf numFmtId="164" fontId="14" fillId="14" borderId="2" xfId="1" applyNumberFormat="1" applyFont="1" applyFill="1" applyBorder="1" applyAlignment="1">
      <alignment horizontal="center"/>
    </xf>
    <xf numFmtId="164" fontId="14" fillId="14" borderId="0" xfId="1" applyNumberFormat="1" applyFont="1" applyFill="1" applyAlignment="1">
      <alignment horizontal="center"/>
    </xf>
    <xf numFmtId="164" fontId="14" fillId="8" borderId="5" xfId="1" applyNumberFormat="1" applyFont="1" applyFill="1" applyBorder="1" applyAlignment="1">
      <alignment horizontal="center"/>
    </xf>
    <xf numFmtId="0" fontId="28" fillId="8" borderId="30" xfId="0" applyFont="1" applyFill="1" applyBorder="1" applyAlignment="1">
      <alignment horizontal="left" indent="2"/>
    </xf>
    <xf numFmtId="164" fontId="14" fillId="8" borderId="0" xfId="1" applyNumberFormat="1" applyFont="1" applyFill="1" applyAlignment="1">
      <alignment horizontal="center"/>
    </xf>
    <xf numFmtId="164" fontId="86" fillId="0" borderId="5" xfId="1" applyNumberFormat="1" applyFont="1" applyBorder="1" applyAlignment="1">
      <alignment horizontal="center"/>
    </xf>
    <xf numFmtId="164" fontId="18" fillId="8" borderId="5" xfId="1" applyNumberFormat="1" applyFont="1" applyFill="1" applyBorder="1" applyAlignment="1">
      <alignment horizontal="left"/>
    </xf>
    <xf numFmtId="164" fontId="14" fillId="8" borderId="2" xfId="1" applyNumberFormat="1" applyFont="1" applyFill="1" applyBorder="1" applyAlignment="1">
      <alignment horizontal="center"/>
    </xf>
    <xf numFmtId="0" fontId="30" fillId="0" borderId="30" xfId="0" applyFont="1" applyBorder="1" applyAlignment="1">
      <alignment horizontal="left" indent="3"/>
    </xf>
    <xf numFmtId="164" fontId="14" fillId="4" borderId="2" xfId="1" applyNumberFormat="1" applyFont="1" applyFill="1" applyBorder="1" applyAlignment="1">
      <alignment horizontal="center"/>
    </xf>
    <xf numFmtId="164" fontId="14" fillId="4" borderId="0" xfId="1" applyNumberFormat="1" applyFont="1" applyFill="1" applyAlignment="1">
      <alignment horizontal="center"/>
    </xf>
    <xf numFmtId="164" fontId="14" fillId="4" borderId="5" xfId="1" applyNumberFormat="1" applyFont="1" applyFill="1" applyBorder="1" applyAlignment="1">
      <alignment horizontal="center"/>
    </xf>
    <xf numFmtId="0" fontId="34" fillId="0" borderId="30" xfId="0" applyFont="1" applyBorder="1" applyAlignment="1">
      <alignment horizontal="right" indent="1"/>
    </xf>
    <xf numFmtId="164" fontId="24" fillId="0" borderId="2" xfId="0" applyNumberFormat="1" applyFont="1" applyBorder="1" applyAlignment="1">
      <alignment horizontal="center"/>
    </xf>
    <xf numFmtId="164" fontId="24" fillId="0" borderId="0" xfId="0" applyNumberFormat="1" applyFont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7" fillId="0" borderId="30" xfId="0" applyFont="1" applyBorder="1" applyAlignment="1">
      <alignment horizontal="left" indent="3"/>
    </xf>
    <xf numFmtId="0" fontId="25" fillId="9" borderId="55" xfId="0" applyFont="1" applyFill="1" applyBorder="1"/>
    <xf numFmtId="0" fontId="25" fillId="14" borderId="20" xfId="0" applyFont="1" applyFill="1" applyBorder="1"/>
    <xf numFmtId="164" fontId="25" fillId="14" borderId="21" xfId="0" applyNumberFormat="1" applyFont="1" applyFill="1" applyBorder="1"/>
    <xf numFmtId="0" fontId="25" fillId="17" borderId="20" xfId="0" applyFont="1" applyFill="1" applyBorder="1"/>
    <xf numFmtId="164" fontId="27" fillId="4" borderId="0" xfId="1" applyNumberFormat="1" applyFont="1" applyFill="1" applyAlignment="1">
      <alignment horizontal="center"/>
    </xf>
    <xf numFmtId="164" fontId="27" fillId="4" borderId="5" xfId="1" applyNumberFormat="1" applyFont="1" applyFill="1" applyBorder="1" applyAlignment="1">
      <alignment horizontal="center"/>
    </xf>
    <xf numFmtId="0" fontId="35" fillId="0" borderId="30" xfId="0" applyFont="1" applyBorder="1" applyAlignment="1">
      <alignment horizontal="left" indent="3"/>
    </xf>
    <xf numFmtId="0" fontId="35" fillId="0" borderId="30" xfId="0" applyFont="1" applyBorder="1" applyAlignment="1">
      <alignment horizontal="left" indent="5"/>
    </xf>
    <xf numFmtId="0" fontId="35" fillId="14" borderId="2" xfId="0" applyFont="1" applyFill="1" applyBorder="1" applyAlignment="1">
      <alignment horizontal="left" indent="5"/>
    </xf>
    <xf numFmtId="164" fontId="35" fillId="14" borderId="0" xfId="1" applyNumberFormat="1" applyFont="1" applyFill="1" applyBorder="1" applyAlignment="1">
      <alignment horizontal="center"/>
    </xf>
    <xf numFmtId="164" fontId="35" fillId="4" borderId="5" xfId="1" applyNumberFormat="1" applyFont="1" applyFill="1" applyBorder="1" applyAlignment="1">
      <alignment horizontal="center"/>
    </xf>
    <xf numFmtId="164" fontId="13" fillId="0" borderId="30" xfId="1" applyNumberFormat="1" applyFont="1" applyBorder="1" applyAlignment="1">
      <alignment horizontal="left"/>
    </xf>
    <xf numFmtId="164" fontId="35" fillId="4" borderId="2" xfId="1" applyNumberFormat="1" applyFont="1" applyFill="1" applyBorder="1" applyAlignment="1">
      <alignment horizontal="center"/>
    </xf>
    <xf numFmtId="164" fontId="35" fillId="4" borderId="0" xfId="1" applyNumberFormat="1" applyFont="1" applyFill="1" applyBorder="1" applyAlignment="1">
      <alignment horizontal="center"/>
    </xf>
    <xf numFmtId="0" fontId="35" fillId="0" borderId="30" xfId="0" applyFont="1" applyBorder="1" applyAlignment="1">
      <alignment horizontal="left" indent="1"/>
    </xf>
    <xf numFmtId="164" fontId="27" fillId="14" borderId="23" xfId="1" applyNumberFormat="1" applyFont="1" applyFill="1" applyBorder="1" applyAlignment="1">
      <alignment horizontal="center"/>
    </xf>
    <xf numFmtId="164" fontId="27" fillId="14" borderId="24" xfId="1" applyNumberFormat="1" applyFont="1" applyFill="1" applyBorder="1" applyAlignment="1">
      <alignment horizontal="center"/>
    </xf>
    <xf numFmtId="164" fontId="27" fillId="4" borderId="25" xfId="1" applyNumberFormat="1" applyFont="1" applyFill="1" applyBorder="1" applyAlignment="1">
      <alignment horizontal="center"/>
    </xf>
    <xf numFmtId="164" fontId="35" fillId="4" borderId="0" xfId="1" applyNumberFormat="1" applyFont="1" applyFill="1" applyAlignment="1">
      <alignment horizontal="center"/>
    </xf>
    <xf numFmtId="164" fontId="35" fillId="14" borderId="0" xfId="1" applyNumberFormat="1" applyFont="1" applyFill="1" applyAlignment="1">
      <alignment horizontal="center"/>
    </xf>
    <xf numFmtId="164" fontId="35" fillId="0" borderId="0" xfId="1" applyNumberFormat="1" applyFont="1" applyFill="1" applyAlignment="1">
      <alignment horizontal="center"/>
    </xf>
    <xf numFmtId="164" fontId="35" fillId="0" borderId="5" xfId="1" applyNumberFormat="1" applyFont="1" applyFill="1" applyBorder="1" applyAlignment="1">
      <alignment horizontal="center"/>
    </xf>
    <xf numFmtId="0" fontId="35" fillId="14" borderId="2" xfId="0" applyFont="1" applyFill="1" applyBorder="1" applyAlignment="1">
      <alignment horizontal="right" indent="3"/>
    </xf>
    <xf numFmtId="164" fontId="35" fillId="14" borderId="0" xfId="1" applyNumberFormat="1" applyFont="1" applyFill="1" applyAlignment="1">
      <alignment horizontal="right"/>
    </xf>
    <xf numFmtId="164" fontId="35" fillId="14" borderId="0" xfId="1" applyNumberFormat="1" applyFont="1" applyFill="1" applyBorder="1" applyAlignment="1">
      <alignment horizontal="right"/>
    </xf>
    <xf numFmtId="164" fontId="35" fillId="0" borderId="5" xfId="1" applyNumberFormat="1" applyFont="1" applyBorder="1" applyAlignment="1">
      <alignment horizontal="center"/>
    </xf>
    <xf numFmtId="164" fontId="27" fillId="4" borderId="23" xfId="1" applyNumberFormat="1" applyFont="1" applyFill="1" applyBorder="1" applyAlignment="1">
      <alignment horizontal="right"/>
    </xf>
    <xf numFmtId="164" fontId="27" fillId="4" borderId="24" xfId="1" applyNumberFormat="1" applyFont="1" applyFill="1" applyBorder="1" applyAlignment="1">
      <alignment horizontal="right"/>
    </xf>
    <xf numFmtId="164" fontId="27" fillId="4" borderId="14" xfId="1" applyNumberFormat="1" applyFont="1" applyFill="1" applyBorder="1" applyAlignment="1">
      <alignment horizontal="center"/>
    </xf>
    <xf numFmtId="164" fontId="27" fillId="4" borderId="15" xfId="1" applyNumberFormat="1" applyFont="1" applyFill="1" applyBorder="1" applyAlignment="1">
      <alignment horizontal="center"/>
    </xf>
    <xf numFmtId="164" fontId="27" fillId="4" borderId="26" xfId="1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0" fontId="24" fillId="0" borderId="19" xfId="0" applyFont="1" applyBorder="1" applyAlignment="1">
      <alignment horizontal="center"/>
    </xf>
    <xf numFmtId="164" fontId="35" fillId="0" borderId="2" xfId="0" applyNumberFormat="1" applyFont="1" applyBorder="1" applyAlignment="1">
      <alignment horizontal="left" indent="1"/>
    </xf>
    <xf numFmtId="0" fontId="27" fillId="0" borderId="30" xfId="0" applyFont="1" applyBorder="1" applyAlignment="1">
      <alignment horizontal="left" indent="2"/>
    </xf>
    <xf numFmtId="0" fontId="35" fillId="0" borderId="30" xfId="0" applyFont="1" applyBorder="1" applyAlignment="1">
      <alignment horizontal="left" indent="4"/>
    </xf>
    <xf numFmtId="10" fontId="35" fillId="14" borderId="2" xfId="2" applyNumberFormat="1" applyFont="1" applyFill="1" applyBorder="1" applyAlignment="1">
      <alignment horizontal="right"/>
    </xf>
    <xf numFmtId="10" fontId="35" fillId="14" borderId="0" xfId="2" applyNumberFormat="1" applyFont="1" applyFill="1" applyAlignment="1">
      <alignment horizontal="right"/>
    </xf>
    <xf numFmtId="10" fontId="35" fillId="4" borderId="2" xfId="2" applyNumberFormat="1" applyFont="1" applyFill="1" applyBorder="1" applyAlignment="1">
      <alignment horizontal="right"/>
    </xf>
    <xf numFmtId="10" fontId="35" fillId="4" borderId="0" xfId="2" applyNumberFormat="1" applyFont="1" applyFill="1" applyAlignment="1">
      <alignment horizontal="right"/>
    </xf>
    <xf numFmtId="0" fontId="37" fillId="0" borderId="30" xfId="0" applyFont="1" applyBorder="1" applyAlignment="1">
      <alignment horizontal="left" indent="4"/>
    </xf>
    <xf numFmtId="164" fontId="37" fillId="14" borderId="2" xfId="1" applyNumberFormat="1" applyFont="1" applyFill="1" applyBorder="1" applyAlignment="1">
      <alignment horizontal="center"/>
    </xf>
    <xf numFmtId="164" fontId="37" fillId="14" borderId="0" xfId="1" applyNumberFormat="1" applyFont="1" applyFill="1" applyAlignment="1">
      <alignment horizontal="center"/>
    </xf>
    <xf numFmtId="164" fontId="37" fillId="0" borderId="5" xfId="1" applyNumberFormat="1" applyFont="1" applyBorder="1" applyAlignment="1">
      <alignment horizontal="center"/>
    </xf>
    <xf numFmtId="10" fontId="37" fillId="14" borderId="2" xfId="2" applyNumberFormat="1" applyFont="1" applyFill="1" applyBorder="1" applyAlignment="1">
      <alignment horizontal="right"/>
    </xf>
    <xf numFmtId="10" fontId="37" fillId="14" borderId="0" xfId="2" applyNumberFormat="1" applyFont="1" applyFill="1" applyAlignment="1">
      <alignment horizontal="right"/>
    </xf>
    <xf numFmtId="10" fontId="37" fillId="0" borderId="5" xfId="2" applyNumberFormat="1" applyFont="1" applyBorder="1" applyAlignment="1">
      <alignment horizontal="right"/>
    </xf>
    <xf numFmtId="164" fontId="87" fillId="9" borderId="22" xfId="0" applyNumberFormat="1" applyFont="1" applyFill="1" applyBorder="1"/>
    <xf numFmtId="164" fontId="80" fillId="9" borderId="22" xfId="0" applyNumberFormat="1" applyFont="1" applyFill="1" applyBorder="1" applyAlignment="1">
      <alignment horizontal="left"/>
    </xf>
    <xf numFmtId="0" fontId="35" fillId="0" borderId="30" xfId="0" applyFont="1" applyBorder="1"/>
    <xf numFmtId="0" fontId="35" fillId="14" borderId="2" xfId="0" applyFont="1" applyFill="1" applyBorder="1"/>
    <xf numFmtId="164" fontId="35" fillId="0" borderId="2" xfId="1" applyNumberFormat="1" applyFont="1" applyBorder="1" applyAlignment="1">
      <alignment horizontal="center"/>
    </xf>
    <xf numFmtId="164" fontId="35" fillId="0" borderId="0" xfId="1" applyNumberFormat="1" applyFont="1" applyBorder="1" applyAlignment="1">
      <alignment horizontal="center"/>
    </xf>
    <xf numFmtId="0" fontId="11" fillId="0" borderId="30" xfId="0" applyFont="1" applyBorder="1" applyAlignment="1">
      <alignment horizontal="right"/>
    </xf>
    <xf numFmtId="164" fontId="27" fillId="0" borderId="14" xfId="1" applyNumberFormat="1" applyFont="1" applyBorder="1" applyAlignment="1">
      <alignment horizontal="center"/>
    </xf>
    <xf numFmtId="164" fontId="27" fillId="0" borderId="15" xfId="1" applyNumberFormat="1" applyFont="1" applyBorder="1" applyAlignment="1">
      <alignment horizontal="center"/>
    </xf>
    <xf numFmtId="164" fontId="27" fillId="0" borderId="26" xfId="1" applyNumberFormat="1" applyFont="1" applyBorder="1" applyAlignment="1">
      <alignment horizontal="center"/>
    </xf>
    <xf numFmtId="0" fontId="15" fillId="0" borderId="30" xfId="0" applyFont="1" applyBorder="1"/>
    <xf numFmtId="0" fontId="9" fillId="10" borderId="0" xfId="0" applyFont="1" applyFill="1" applyAlignment="1">
      <alignment horizontal="center"/>
    </xf>
    <xf numFmtId="0" fontId="9" fillId="10" borderId="5" xfId="0" applyFont="1" applyFill="1" applyBorder="1" applyAlignment="1">
      <alignment horizontal="center"/>
    </xf>
    <xf numFmtId="0" fontId="27" fillId="0" borderId="30" xfId="0" applyFont="1" applyBorder="1"/>
    <xf numFmtId="3" fontId="35" fillId="14" borderId="0" xfId="0" applyNumberFormat="1" applyFont="1" applyFill="1" applyAlignment="1">
      <alignment horizontal="right"/>
    </xf>
    <xf numFmtId="0" fontId="27" fillId="14" borderId="2" xfId="0" applyFont="1" applyFill="1" applyBorder="1"/>
    <xf numFmtId="3" fontId="27" fillId="14" borderId="15" xfId="0" applyNumberFormat="1" applyFont="1" applyFill="1" applyBorder="1" applyAlignment="1">
      <alignment horizontal="right"/>
    </xf>
    <xf numFmtId="164" fontId="24" fillId="0" borderId="5" xfId="0" applyNumberFormat="1" applyFont="1" applyBorder="1" applyAlignment="1">
      <alignment horizontal="center"/>
    </xf>
    <xf numFmtId="10" fontId="24" fillId="0" borderId="0" xfId="2" applyNumberFormat="1" applyFont="1" applyAlignment="1">
      <alignment horizontal="center"/>
    </xf>
    <xf numFmtId="0" fontId="50" fillId="5" borderId="30" xfId="0" applyFont="1" applyFill="1" applyBorder="1"/>
    <xf numFmtId="0" fontId="50" fillId="5" borderId="0" xfId="0" applyFont="1" applyFill="1" applyAlignment="1">
      <alignment horizontal="center"/>
    </xf>
    <xf numFmtId="0" fontId="50" fillId="5" borderId="5" xfId="0" applyFont="1" applyFill="1" applyBorder="1" applyAlignment="1">
      <alignment horizontal="center"/>
    </xf>
    <xf numFmtId="0" fontId="50" fillId="4" borderId="30" xfId="0" applyFont="1" applyFill="1" applyBorder="1"/>
    <xf numFmtId="164" fontId="50" fillId="14" borderId="2" xfId="1" applyNumberFormat="1" applyFont="1" applyFill="1" applyBorder="1" applyAlignment="1">
      <alignment horizontal="center"/>
    </xf>
    <xf numFmtId="164" fontId="50" fillId="14" borderId="0" xfId="1" applyNumberFormat="1" applyFont="1" applyFill="1" applyAlignment="1">
      <alignment horizontal="center"/>
    </xf>
    <xf numFmtId="164" fontId="50" fillId="0" borderId="5" xfId="1" applyNumberFormat="1" applyFont="1" applyFill="1" applyBorder="1" applyAlignment="1">
      <alignment horizontal="center"/>
    </xf>
    <xf numFmtId="164" fontId="50" fillId="14" borderId="2" xfId="1" applyNumberFormat="1" applyFont="1" applyFill="1" applyBorder="1" applyAlignment="1">
      <alignment horizontal="right" vertical="center"/>
    </xf>
    <xf numFmtId="164" fontId="50" fillId="14" borderId="0" xfId="1" applyNumberFormat="1" applyFont="1" applyFill="1" applyBorder="1" applyAlignment="1">
      <alignment horizontal="right" vertical="center"/>
    </xf>
    <xf numFmtId="164" fontId="50" fillId="0" borderId="5" xfId="1" applyNumberFormat="1" applyFont="1" applyFill="1" applyBorder="1" applyAlignment="1">
      <alignment horizontal="right" vertical="center"/>
    </xf>
    <xf numFmtId="164" fontId="50" fillId="14" borderId="2" xfId="1" applyNumberFormat="1" applyFont="1" applyFill="1" applyBorder="1" applyAlignment="1">
      <alignment horizontal="center" vertical="center"/>
    </xf>
    <xf numFmtId="164" fontId="50" fillId="14" borderId="0" xfId="1" applyNumberFormat="1" applyFont="1" applyFill="1" applyBorder="1" applyAlignment="1">
      <alignment horizontal="center" vertical="center"/>
    </xf>
    <xf numFmtId="164" fontId="50" fillId="0" borderId="5" xfId="1" applyNumberFormat="1" applyFont="1" applyFill="1" applyBorder="1" applyAlignment="1">
      <alignment horizontal="center" vertical="center"/>
    </xf>
    <xf numFmtId="164" fontId="50" fillId="14" borderId="2" xfId="1" applyNumberFormat="1" applyFont="1" applyFill="1" applyBorder="1" applyAlignment="1">
      <alignment horizontal="right"/>
    </xf>
    <xf numFmtId="164" fontId="50" fillId="14" borderId="0" xfId="1" applyNumberFormat="1" applyFont="1" applyFill="1" applyAlignment="1">
      <alignment horizontal="right"/>
    </xf>
    <xf numFmtId="0" fontId="50" fillId="0" borderId="30" xfId="0" applyFont="1" applyBorder="1"/>
    <xf numFmtId="0" fontId="50" fillId="0" borderId="0" xfId="0" applyFont="1" applyAlignment="1">
      <alignment horizontal="center"/>
    </xf>
    <xf numFmtId="0" fontId="50" fillId="0" borderId="5" xfId="0" applyFont="1" applyBorder="1" applyAlignment="1">
      <alignment horizontal="center"/>
    </xf>
    <xf numFmtId="0" fontId="51" fillId="8" borderId="0" xfId="0" applyFont="1" applyFill="1" applyAlignment="1">
      <alignment horizontal="center" vertical="center"/>
    </xf>
    <xf numFmtId="10" fontId="50" fillId="0" borderId="2" xfId="0" applyNumberFormat="1" applyFont="1" applyBorder="1" applyAlignment="1">
      <alignment horizontal="center"/>
    </xf>
    <xf numFmtId="10" fontId="50" fillId="0" borderId="0" xfId="0" applyNumberFormat="1" applyFont="1" applyAlignment="1">
      <alignment horizontal="center"/>
    </xf>
    <xf numFmtId="0" fontId="35" fillId="0" borderId="30" xfId="0" quotePrefix="1" applyFont="1" applyBorder="1" applyAlignment="1">
      <alignment horizontal="left" indent="1"/>
    </xf>
    <xf numFmtId="10" fontId="50" fillId="14" borderId="2" xfId="0" applyNumberFormat="1" applyFont="1" applyFill="1" applyBorder="1" applyAlignment="1">
      <alignment horizontal="center"/>
    </xf>
    <xf numFmtId="10" fontId="50" fillId="14" borderId="0" xfId="0" applyNumberFormat="1" applyFont="1" applyFill="1" applyAlignment="1">
      <alignment horizontal="center"/>
    </xf>
    <xf numFmtId="10" fontId="50" fillId="0" borderId="5" xfId="0" applyNumberFormat="1" applyFont="1" applyBorder="1" applyAlignment="1">
      <alignment horizontal="center"/>
    </xf>
    <xf numFmtId="0" fontId="50" fillId="0" borderId="30" xfId="0" quotePrefix="1" applyFont="1" applyBorder="1" applyAlignment="1">
      <alignment horizontal="left" indent="1"/>
    </xf>
    <xf numFmtId="0" fontId="50" fillId="0" borderId="2" xfId="0" applyFont="1" applyBorder="1" applyAlignment="1">
      <alignment horizontal="center"/>
    </xf>
    <xf numFmtId="9" fontId="50" fillId="0" borderId="2" xfId="0" applyNumberFormat="1" applyFont="1" applyBorder="1" applyAlignment="1">
      <alignment horizontal="center"/>
    </xf>
    <xf numFmtId="9" fontId="50" fillId="0" borderId="0" xfId="0" applyNumberFormat="1" applyFont="1" applyAlignment="1">
      <alignment horizontal="center"/>
    </xf>
    <xf numFmtId="9" fontId="50" fillId="0" borderId="5" xfId="0" applyNumberFormat="1" applyFont="1" applyBorder="1" applyAlignment="1">
      <alignment horizontal="center"/>
    </xf>
    <xf numFmtId="164" fontId="14" fillId="8" borderId="2" xfId="1" applyNumberFormat="1" applyFont="1" applyFill="1" applyBorder="1" applyAlignment="1"/>
    <xf numFmtId="164" fontId="14" fillId="8" borderId="0" xfId="1" applyNumberFormat="1" applyFont="1" applyFill="1" applyAlignment="1"/>
    <xf numFmtId="164" fontId="14" fillId="8" borderId="5" xfId="1" applyNumberFormat="1" applyFont="1" applyFill="1" applyBorder="1" applyAlignment="1"/>
    <xf numFmtId="164" fontId="14" fillId="8" borderId="5" xfId="1" applyNumberFormat="1" applyFont="1" applyFill="1" applyBorder="1"/>
    <xf numFmtId="164" fontId="35" fillId="0" borderId="27" xfId="1" applyNumberFormat="1" applyFont="1" applyBorder="1" applyAlignment="1">
      <alignment horizontal="center"/>
    </xf>
    <xf numFmtId="164" fontId="35" fillId="0" borderId="28" xfId="1" applyNumberFormat="1" applyFont="1" applyBorder="1" applyAlignment="1">
      <alignment horizontal="center"/>
    </xf>
    <xf numFmtId="164" fontId="35" fillId="0" borderId="29" xfId="1" applyNumberFormat="1" applyFont="1" applyBorder="1" applyAlignment="1">
      <alignment horizontal="center"/>
    </xf>
    <xf numFmtId="3" fontId="27" fillId="4" borderId="14" xfId="0" applyNumberFormat="1" applyFont="1" applyFill="1" applyBorder="1" applyAlignment="1">
      <alignment horizontal="right"/>
    </xf>
    <xf numFmtId="164" fontId="35" fillId="14" borderId="2" xfId="1" applyNumberFormat="1" applyFont="1" applyFill="1" applyBorder="1" applyAlignment="1">
      <alignment horizontal="center"/>
    </xf>
    <xf numFmtId="3" fontId="35" fillId="14" borderId="2" xfId="0" applyNumberFormat="1" applyFont="1" applyFill="1" applyBorder="1"/>
    <xf numFmtId="164" fontId="35" fillId="15" borderId="2" xfId="1" applyNumberFormat="1" applyFont="1" applyFill="1" applyBorder="1" applyAlignment="1">
      <alignment horizontal="center"/>
    </xf>
    <xf numFmtId="164" fontId="35" fillId="15" borderId="0" xfId="1" applyNumberFormat="1" applyFont="1" applyFill="1" applyBorder="1" applyAlignment="1">
      <alignment horizontal="center"/>
    </xf>
    <xf numFmtId="164" fontId="35" fillId="15" borderId="5" xfId="1" applyNumberFormat="1" applyFont="1" applyFill="1" applyBorder="1" applyAlignment="1">
      <alignment horizontal="center"/>
    </xf>
    <xf numFmtId="164" fontId="38" fillId="0" borderId="37" xfId="0" applyNumberFormat="1" applyFont="1" applyBorder="1" applyAlignment="1">
      <alignment horizontal="center"/>
    </xf>
    <xf numFmtId="164" fontId="38" fillId="0" borderId="38" xfId="0" applyNumberFormat="1" applyFont="1" applyBorder="1" applyAlignment="1">
      <alignment horizontal="center"/>
    </xf>
    <xf numFmtId="164" fontId="38" fillId="0" borderId="5" xfId="0" applyNumberFormat="1" applyFont="1" applyBorder="1" applyAlignment="1">
      <alignment horizontal="center"/>
    </xf>
    <xf numFmtId="164" fontId="38" fillId="0" borderId="0" xfId="0" applyNumberFormat="1" applyFont="1" applyAlignment="1">
      <alignment horizontal="center"/>
    </xf>
    <xf numFmtId="164" fontId="38" fillId="0" borderId="40" xfId="0" applyNumberFormat="1" applyFont="1" applyBorder="1" applyAlignment="1">
      <alignment horizontal="center"/>
    </xf>
    <xf numFmtId="164" fontId="38" fillId="0" borderId="41" xfId="0" applyNumberFormat="1" applyFont="1" applyBorder="1" applyAlignment="1">
      <alignment horizontal="center"/>
    </xf>
    <xf numFmtId="9" fontId="50" fillId="14" borderId="2" xfId="2" applyFont="1" applyFill="1" applyBorder="1" applyAlignment="1">
      <alignment horizontal="right"/>
    </xf>
    <xf numFmtId="9" fontId="50" fillId="14" borderId="0" xfId="2" applyFont="1" applyFill="1" applyBorder="1" applyAlignment="1">
      <alignment horizontal="right"/>
    </xf>
    <xf numFmtId="9" fontId="50" fillId="0" borderId="5" xfId="2" applyFont="1" applyBorder="1" applyAlignment="1">
      <alignment horizontal="right"/>
    </xf>
    <xf numFmtId="164" fontId="29" fillId="0" borderId="30" xfId="1" applyNumberFormat="1" applyFont="1" applyBorder="1" applyAlignment="1">
      <alignment horizontal="left"/>
    </xf>
    <xf numFmtId="9" fontId="35" fillId="14" borderId="2" xfId="0" applyNumberFormat="1" applyFont="1" applyFill="1" applyBorder="1"/>
    <xf numFmtId="9" fontId="35" fillId="14" borderId="0" xfId="0" applyNumberFormat="1" applyFont="1" applyFill="1"/>
    <xf numFmtId="9" fontId="7" fillId="4" borderId="5" xfId="0" applyNumberFormat="1" applyFont="1" applyFill="1" applyBorder="1" applyAlignment="1">
      <alignment horizontal="center"/>
    </xf>
    <xf numFmtId="0" fontId="35" fillId="14" borderId="0" xfId="0" applyFont="1" applyFill="1"/>
    <xf numFmtId="0" fontId="35" fillId="0" borderId="45" xfId="0" applyFont="1" applyBorder="1"/>
    <xf numFmtId="0" fontId="35" fillId="14" borderId="42" xfId="0" applyFont="1" applyFill="1" applyBorder="1"/>
    <xf numFmtId="164" fontId="35" fillId="14" borderId="43" xfId="1" applyNumberFormat="1" applyFont="1" applyFill="1" applyBorder="1" applyAlignment="1">
      <alignment horizontal="center"/>
    </xf>
    <xf numFmtId="164" fontId="35" fillId="0" borderId="44" xfId="1" applyNumberFormat="1" applyFont="1" applyBorder="1" applyAlignment="1">
      <alignment horizontal="center"/>
    </xf>
    <xf numFmtId="3" fontId="35" fillId="14" borderId="2" xfId="0" applyNumberFormat="1" applyFont="1" applyFill="1" applyBorder="1" applyAlignment="1">
      <alignment horizontal="right" vertical="center"/>
    </xf>
    <xf numFmtId="0" fontId="35" fillId="14" borderId="2" xfId="0" applyFont="1" applyFill="1" applyBorder="1" applyAlignment="1">
      <alignment horizontal="right" vertical="center"/>
    </xf>
    <xf numFmtId="0" fontId="27" fillId="0" borderId="54" xfId="0" applyFont="1" applyBorder="1"/>
    <xf numFmtId="164" fontId="27" fillId="0" borderId="47" xfId="1" applyNumberFormat="1" applyFont="1" applyBorder="1" applyAlignment="1">
      <alignment horizontal="center"/>
    </xf>
    <xf numFmtId="164" fontId="27" fillId="0" borderId="49" xfId="1" applyNumberFormat="1" applyFont="1" applyBorder="1" applyAlignment="1">
      <alignment horizontal="center"/>
    </xf>
    <xf numFmtId="164" fontId="27" fillId="0" borderId="48" xfId="1" applyNumberFormat="1" applyFont="1" applyBorder="1" applyAlignment="1">
      <alignment horizontal="center"/>
    </xf>
    <xf numFmtId="164" fontId="27" fillId="14" borderId="2" xfId="1" applyNumberFormat="1" applyFont="1" applyFill="1" applyBorder="1"/>
    <xf numFmtId="164" fontId="27" fillId="14" borderId="0" xfId="1" applyNumberFormat="1" applyFont="1" applyFill="1" applyBorder="1" applyAlignment="1">
      <alignment horizontal="center"/>
    </xf>
    <xf numFmtId="0" fontId="27" fillId="18" borderId="30" xfId="0" applyFont="1" applyFill="1" applyBorder="1"/>
    <xf numFmtId="164" fontId="27" fillId="4" borderId="2" xfId="1" applyNumberFormat="1" applyFont="1" applyFill="1" applyBorder="1"/>
    <xf numFmtId="164" fontId="35" fillId="14" borderId="2" xfId="1" applyNumberFormat="1" applyFont="1" applyFill="1" applyBorder="1"/>
    <xf numFmtId="0" fontId="35" fillId="4" borderId="2" xfId="0" applyFont="1" applyFill="1" applyBorder="1"/>
    <xf numFmtId="164" fontId="35" fillId="0" borderId="30" xfId="1" applyNumberFormat="1" applyFont="1" applyBorder="1" applyAlignment="1">
      <alignment horizontal="center"/>
    </xf>
    <xf numFmtId="0" fontId="27" fillId="0" borderId="55" xfId="0" applyFont="1" applyBorder="1"/>
    <xf numFmtId="164" fontId="27" fillId="0" borderId="20" xfId="1" applyNumberFormat="1" applyFont="1" applyBorder="1" applyAlignment="1">
      <alignment horizontal="center"/>
    </xf>
    <xf numFmtId="164" fontId="27" fillId="0" borderId="21" xfId="1" applyNumberFormat="1" applyFont="1" applyBorder="1" applyAlignment="1">
      <alignment horizontal="center"/>
    </xf>
    <xf numFmtId="164" fontId="27" fillId="0" borderId="22" xfId="1" applyNumberFormat="1" applyFont="1" applyBorder="1" applyAlignment="1">
      <alignment horizontal="center"/>
    </xf>
    <xf numFmtId="164" fontId="88" fillId="0" borderId="5" xfId="0" applyNumberFormat="1" applyFont="1" applyBorder="1" applyAlignment="1">
      <alignment horizontal="center" wrapText="1"/>
    </xf>
    <xf numFmtId="164" fontId="33" fillId="0" borderId="5" xfId="1" applyNumberFormat="1" applyFont="1" applyBorder="1" applyAlignment="1">
      <alignment horizontal="left"/>
    </xf>
    <xf numFmtId="164" fontId="35" fillId="0" borderId="43" xfId="1" applyNumberFormat="1" applyFont="1" applyBorder="1" applyAlignment="1">
      <alignment horizontal="center"/>
    </xf>
    <xf numFmtId="0" fontId="89" fillId="3" borderId="2" xfId="0" applyFont="1" applyFill="1" applyBorder="1" applyAlignment="1">
      <alignment horizontal="center" vertical="center"/>
    </xf>
    <xf numFmtId="0" fontId="89" fillId="3" borderId="0" xfId="0" applyFont="1" applyFill="1" applyAlignment="1">
      <alignment horizontal="center" vertical="center"/>
    </xf>
    <xf numFmtId="0" fontId="89" fillId="3" borderId="4" xfId="0" applyFont="1" applyFill="1" applyBorder="1" applyAlignment="1">
      <alignment horizontal="center" vertical="center"/>
    </xf>
    <xf numFmtId="0" fontId="89" fillId="3" borderId="3" xfId="0" applyFont="1" applyFill="1" applyBorder="1" applyAlignment="1">
      <alignment horizontal="center" vertical="center"/>
    </xf>
    <xf numFmtId="0" fontId="58" fillId="4" borderId="2" xfId="0" applyFont="1" applyFill="1" applyBorder="1" applyAlignment="1">
      <alignment horizontal="center"/>
    </xf>
    <xf numFmtId="0" fontId="58" fillId="4" borderId="0" xfId="0" applyFont="1" applyFill="1" applyAlignment="1">
      <alignment horizontal="center"/>
    </xf>
    <xf numFmtId="0" fontId="90" fillId="5" borderId="53" xfId="0" applyFont="1" applyFill="1" applyBorder="1" applyAlignment="1">
      <alignment horizontal="center"/>
    </xf>
    <xf numFmtId="0" fontId="90" fillId="5" borderId="8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83" fillId="6" borderId="2" xfId="0" applyFont="1" applyFill="1" applyBorder="1" applyAlignment="1">
      <alignment horizontal="center"/>
    </xf>
    <xf numFmtId="0" fontId="83" fillId="6" borderId="0" xfId="0" applyFont="1" applyFill="1" applyAlignment="1">
      <alignment horizontal="center"/>
    </xf>
    <xf numFmtId="164" fontId="19" fillId="14" borderId="2" xfId="1" applyNumberFormat="1" applyFont="1" applyFill="1" applyBorder="1" applyAlignment="1">
      <alignment horizontal="center"/>
    </xf>
    <xf numFmtId="164" fontId="19" fillId="14" borderId="0" xfId="1" applyNumberFormat="1" applyFont="1" applyFill="1" applyBorder="1" applyAlignment="1">
      <alignment horizontal="center"/>
    </xf>
    <xf numFmtId="164" fontId="19" fillId="14" borderId="5" xfId="1" applyNumberFormat="1" applyFont="1" applyFill="1" applyBorder="1" applyAlignment="1">
      <alignment horizontal="center"/>
    </xf>
    <xf numFmtId="0" fontId="12" fillId="19" borderId="5" xfId="0" applyFont="1" applyFill="1" applyBorder="1"/>
    <xf numFmtId="164" fontId="19" fillId="0" borderId="2" xfId="1" applyNumberFormat="1" applyFont="1" applyBorder="1" applyAlignment="1">
      <alignment horizontal="center"/>
    </xf>
    <xf numFmtId="164" fontId="19" fillId="0" borderId="0" xfId="1" applyNumberFormat="1" applyFont="1" applyBorder="1" applyAlignment="1">
      <alignment horizontal="center"/>
    </xf>
    <xf numFmtId="164" fontId="19" fillId="0" borderId="5" xfId="1" applyNumberFormat="1" applyFont="1" applyFill="1" applyBorder="1" applyAlignment="1">
      <alignment horizontal="center"/>
    </xf>
    <xf numFmtId="164" fontId="58" fillId="0" borderId="2" xfId="1" applyNumberFormat="1" applyFont="1" applyBorder="1" applyAlignment="1">
      <alignment horizontal="center"/>
    </xf>
    <xf numFmtId="164" fontId="58" fillId="0" borderId="0" xfId="1" applyNumberFormat="1" applyFont="1" applyBorder="1" applyAlignment="1">
      <alignment horizontal="center"/>
    </xf>
    <xf numFmtId="164" fontId="58" fillId="8" borderId="2" xfId="1" applyNumberFormat="1" applyFont="1" applyFill="1" applyBorder="1" applyAlignment="1">
      <alignment horizontal="center"/>
    </xf>
    <xf numFmtId="164" fontId="58" fillId="8" borderId="0" xfId="1" applyNumberFormat="1" applyFont="1" applyFill="1" applyBorder="1" applyAlignment="1">
      <alignment horizontal="center"/>
    </xf>
    <xf numFmtId="164" fontId="7" fillId="8" borderId="5" xfId="1" applyNumberFormat="1" applyFont="1" applyFill="1" applyBorder="1" applyAlignment="1">
      <alignment horizontal="center"/>
    </xf>
    <xf numFmtId="164" fontId="91" fillId="0" borderId="5" xfId="1" applyNumberFormat="1" applyFont="1" applyBorder="1" applyAlignment="1">
      <alignment horizontal="left"/>
    </xf>
    <xf numFmtId="0" fontId="92" fillId="0" borderId="5" xfId="0" applyFont="1" applyBorder="1"/>
    <xf numFmtId="164" fontId="81" fillId="14" borderId="2" xfId="1" applyNumberFormat="1" applyFont="1" applyFill="1" applyBorder="1" applyAlignment="1">
      <alignment horizontal="center"/>
    </xf>
    <xf numFmtId="164" fontId="81" fillId="14" borderId="0" xfId="1" applyNumberFormat="1" applyFont="1" applyFill="1" applyBorder="1" applyAlignment="1">
      <alignment horizontal="center"/>
    </xf>
    <xf numFmtId="164" fontId="66" fillId="14" borderId="5" xfId="1" applyNumberFormat="1" applyFont="1" applyFill="1" applyBorder="1" applyAlignment="1">
      <alignment horizontal="center"/>
    </xf>
    <xf numFmtId="3" fontId="17" fillId="14" borderId="2" xfId="0" applyNumberFormat="1" applyFont="1" applyFill="1" applyBorder="1" applyAlignment="1">
      <alignment horizontal="right" indent="1"/>
    </xf>
    <xf numFmtId="3" fontId="17" fillId="14" borderId="0" xfId="0" applyNumberFormat="1" applyFont="1" applyFill="1" applyAlignment="1">
      <alignment horizontal="right" indent="1"/>
    </xf>
    <xf numFmtId="3" fontId="17" fillId="14" borderId="5" xfId="0" applyNumberFormat="1" applyFont="1" applyFill="1" applyBorder="1" applyAlignment="1">
      <alignment horizontal="right" indent="1"/>
    </xf>
    <xf numFmtId="164" fontId="93" fillId="0" borderId="2" xfId="1" applyNumberFormat="1" applyFont="1" applyBorder="1" applyAlignment="1">
      <alignment horizontal="center"/>
    </xf>
    <xf numFmtId="164" fontId="93" fillId="0" borderId="0" xfId="1" applyNumberFormat="1" applyFont="1" applyBorder="1" applyAlignment="1">
      <alignment horizontal="center"/>
    </xf>
    <xf numFmtId="164" fontId="94" fillId="0" borderId="5" xfId="1" applyNumberFormat="1" applyFont="1" applyBorder="1" applyAlignment="1">
      <alignment horizontal="center"/>
    </xf>
    <xf numFmtId="164" fontId="19" fillId="0" borderId="14" xfId="1" applyNumberFormat="1" applyFont="1" applyBorder="1" applyAlignment="1">
      <alignment horizontal="center"/>
    </xf>
    <xf numFmtId="164" fontId="19" fillId="0" borderId="15" xfId="1" applyNumberFormat="1" applyFont="1" applyBorder="1" applyAlignment="1">
      <alignment horizontal="center"/>
    </xf>
    <xf numFmtId="164" fontId="11" fillId="0" borderId="26" xfId="1" applyNumberFormat="1" applyFont="1" applyBorder="1" applyAlignment="1">
      <alignment horizontal="center"/>
    </xf>
    <xf numFmtId="0" fontId="39" fillId="0" borderId="17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3" fontId="19" fillId="0" borderId="2" xfId="0" applyNumberFormat="1" applyFont="1" applyBorder="1"/>
    <xf numFmtId="3" fontId="19" fillId="0" borderId="0" xfId="0" applyNumberFormat="1" applyFont="1"/>
    <xf numFmtId="164" fontId="69" fillId="7" borderId="5" xfId="1" applyNumberFormat="1" applyFont="1" applyFill="1" applyBorder="1" applyAlignment="1">
      <alignment horizontal="left"/>
    </xf>
    <xf numFmtId="10" fontId="0" fillId="0" borderId="0" xfId="2" applyNumberFormat="1" applyFont="1"/>
    <xf numFmtId="3" fontId="17" fillId="0" borderId="2" xfId="1" applyNumberFormat="1" applyFont="1" applyBorder="1" applyAlignment="1">
      <alignment horizontal="right"/>
    </xf>
    <xf numFmtId="3" fontId="17" fillId="0" borderId="0" xfId="1" applyNumberFormat="1" applyFont="1" applyBorder="1" applyAlignment="1">
      <alignment horizontal="right"/>
    </xf>
    <xf numFmtId="3" fontId="39" fillId="0" borderId="2" xfId="0" applyNumberFormat="1" applyFont="1" applyBorder="1" applyAlignment="1">
      <alignment horizontal="center"/>
    </xf>
    <xf numFmtId="3" fontId="17" fillId="0" borderId="0" xfId="1" applyNumberFormat="1" applyFont="1" applyAlignment="1">
      <alignment horizontal="right"/>
    </xf>
    <xf numFmtId="3" fontId="17" fillId="0" borderId="5" xfId="1" applyNumberFormat="1" applyFont="1" applyBorder="1" applyAlignment="1">
      <alignment horizontal="right"/>
    </xf>
    <xf numFmtId="3" fontId="93" fillId="14" borderId="2" xfId="0" applyNumberFormat="1" applyFont="1" applyFill="1" applyBorder="1" applyAlignment="1">
      <alignment horizontal="right" indent="1"/>
    </xf>
    <xf numFmtId="3" fontId="93" fillId="14" borderId="0" xfId="0" applyNumberFormat="1" applyFont="1" applyFill="1" applyAlignment="1">
      <alignment horizontal="right" indent="1"/>
    </xf>
    <xf numFmtId="3" fontId="93" fillId="14" borderId="5" xfId="0" applyNumberFormat="1" applyFont="1" applyFill="1" applyBorder="1" applyAlignment="1">
      <alignment horizontal="right" indent="1"/>
    </xf>
    <xf numFmtId="164" fontId="18" fillId="0" borderId="5" xfId="1" applyNumberFormat="1" applyFont="1" applyBorder="1" applyAlignment="1">
      <alignment horizontal="left"/>
    </xf>
    <xf numFmtId="0" fontId="39" fillId="0" borderId="2" xfId="0" applyFont="1" applyBorder="1" applyAlignment="1">
      <alignment horizontal="center"/>
    </xf>
    <xf numFmtId="0" fontId="39" fillId="0" borderId="0" xfId="0" applyFont="1" applyAlignment="1">
      <alignment horizontal="center"/>
    </xf>
    <xf numFmtId="164" fontId="58" fillId="14" borderId="2" xfId="1" applyNumberFormat="1" applyFont="1" applyFill="1" applyBorder="1" applyAlignment="1">
      <alignment horizontal="center"/>
    </xf>
    <xf numFmtId="164" fontId="58" fillId="14" borderId="0" xfId="1" applyNumberFormat="1" applyFont="1" applyFill="1" applyBorder="1" applyAlignment="1">
      <alignment horizontal="center"/>
    </xf>
    <xf numFmtId="164" fontId="58" fillId="14" borderId="5" xfId="1" applyNumberFormat="1" applyFont="1" applyFill="1" applyBorder="1" applyAlignment="1">
      <alignment horizontal="center"/>
    </xf>
    <xf numFmtId="164" fontId="19" fillId="0" borderId="5" xfId="1" applyNumberFormat="1" applyFont="1" applyBorder="1" applyAlignment="1">
      <alignment horizontal="center"/>
    </xf>
    <xf numFmtId="0" fontId="58" fillId="0" borderId="2" xfId="0" applyFont="1" applyBorder="1" applyAlignment="1">
      <alignment horizontal="center"/>
    </xf>
    <xf numFmtId="0" fontId="58" fillId="0" borderId="0" xfId="0" applyFont="1" applyAlignment="1">
      <alignment horizontal="center"/>
    </xf>
    <xf numFmtId="0" fontId="83" fillId="5" borderId="2" xfId="0" applyFont="1" applyFill="1" applyBorder="1" applyAlignment="1">
      <alignment horizontal="center"/>
    </xf>
    <xf numFmtId="0" fontId="83" fillId="5" borderId="0" xfId="0" applyFont="1" applyFill="1" applyAlignment="1">
      <alignment horizontal="center"/>
    </xf>
    <xf numFmtId="164" fontId="87" fillId="9" borderId="20" xfId="0" applyNumberFormat="1" applyFont="1" applyFill="1" applyBorder="1"/>
    <xf numFmtId="164" fontId="87" fillId="9" borderId="21" xfId="0" applyNumberFormat="1" applyFont="1" applyFill="1" applyBorder="1"/>
    <xf numFmtId="164" fontId="79" fillId="0" borderId="2" xfId="1" applyNumberFormat="1" applyFont="1" applyBorder="1" applyAlignment="1">
      <alignment horizontal="center"/>
    </xf>
    <xf numFmtId="164" fontId="79" fillId="0" borderId="0" xfId="1" applyNumberFormat="1" applyFont="1" applyBorder="1" applyAlignment="1">
      <alignment horizontal="center"/>
    </xf>
    <xf numFmtId="164" fontId="86" fillId="8" borderId="2" xfId="1" applyNumberFormat="1" applyFont="1" applyFill="1" applyBorder="1" applyAlignment="1">
      <alignment horizontal="center"/>
    </xf>
    <xf numFmtId="164" fontId="86" fillId="8" borderId="0" xfId="1" applyNumberFormat="1" applyFont="1" applyFill="1" applyBorder="1" applyAlignment="1">
      <alignment horizontal="center"/>
    </xf>
    <xf numFmtId="164" fontId="40" fillId="8" borderId="2" xfId="1" applyNumberFormat="1" applyFont="1" applyFill="1" applyBorder="1" applyAlignment="1">
      <alignment horizontal="center"/>
    </xf>
    <xf numFmtId="164" fontId="40" fillId="8" borderId="0" xfId="1" applyNumberFormat="1" applyFont="1" applyFill="1" applyBorder="1" applyAlignment="1">
      <alignment horizontal="center"/>
    </xf>
    <xf numFmtId="164" fontId="28" fillId="8" borderId="5" xfId="1" applyNumberFormat="1" applyFont="1" applyFill="1" applyBorder="1" applyAlignment="1">
      <alignment horizontal="center"/>
    </xf>
    <xf numFmtId="164" fontId="95" fillId="0" borderId="2" xfId="1" applyNumberFormat="1" applyFont="1" applyBorder="1" applyAlignment="1">
      <alignment horizontal="center"/>
    </xf>
    <xf numFmtId="164" fontId="95" fillId="0" borderId="0" xfId="1" applyNumberFormat="1" applyFont="1" applyBorder="1" applyAlignment="1">
      <alignment horizontal="center"/>
    </xf>
    <xf numFmtId="164" fontId="30" fillId="0" borderId="5" xfId="1" applyNumberFormat="1" applyFont="1" applyBorder="1" applyAlignment="1">
      <alignment horizontal="center"/>
    </xf>
    <xf numFmtId="164" fontId="59" fillId="4" borderId="5" xfId="1" applyNumberFormat="1" applyFont="1" applyFill="1" applyBorder="1" applyAlignment="1">
      <alignment horizontal="left"/>
    </xf>
    <xf numFmtId="164" fontId="14" fillId="8" borderId="5" xfId="1" applyNumberFormat="1" applyFont="1" applyFill="1" applyBorder="1" applyAlignment="1">
      <alignment horizontal="left"/>
    </xf>
    <xf numFmtId="164" fontId="34" fillId="0" borderId="2" xfId="0" applyNumberFormat="1" applyFont="1" applyBorder="1" applyAlignment="1">
      <alignment horizontal="right" indent="1"/>
    </xf>
    <xf numFmtId="0" fontId="12" fillId="20" borderId="22" xfId="0" applyFont="1" applyFill="1" applyBorder="1" applyAlignment="1">
      <alignment wrapText="1"/>
    </xf>
    <xf numFmtId="164" fontId="79" fillId="4" borderId="2" xfId="1" applyNumberFormat="1" applyFont="1" applyFill="1" applyBorder="1" applyAlignment="1">
      <alignment horizontal="center"/>
    </xf>
    <xf numFmtId="164" fontId="79" fillId="4" borderId="0" xfId="1" applyNumberFormat="1" applyFont="1" applyFill="1" applyBorder="1" applyAlignment="1">
      <alignment horizontal="center"/>
    </xf>
    <xf numFmtId="0" fontId="64" fillId="21" borderId="5" xfId="0" applyFont="1" applyFill="1" applyBorder="1"/>
    <xf numFmtId="0" fontId="28" fillId="19" borderId="5" xfId="0" applyFont="1" applyFill="1" applyBorder="1"/>
    <xf numFmtId="164" fontId="57" fillId="4" borderId="2" xfId="1" applyNumberFormat="1" applyFont="1" applyFill="1" applyBorder="1" applyAlignment="1">
      <alignment horizontal="center"/>
    </xf>
    <xf numFmtId="164" fontId="57" fillId="4" borderId="0" xfId="1" applyNumberFormat="1" applyFont="1" applyFill="1" applyBorder="1" applyAlignment="1">
      <alignment horizontal="center"/>
    </xf>
    <xf numFmtId="0" fontId="37" fillId="21" borderId="5" xfId="0" applyFont="1" applyFill="1" applyBorder="1"/>
    <xf numFmtId="0" fontId="96" fillId="21" borderId="5" xfId="0" applyFont="1" applyFill="1" applyBorder="1"/>
    <xf numFmtId="164" fontId="79" fillId="4" borderId="23" xfId="1" applyNumberFormat="1" applyFont="1" applyFill="1" applyBorder="1" applyAlignment="1">
      <alignment horizontal="center"/>
    </xf>
    <xf numFmtId="164" fontId="79" fillId="4" borderId="24" xfId="1" applyNumberFormat="1" applyFont="1" applyFill="1" applyBorder="1" applyAlignment="1">
      <alignment horizontal="center"/>
    </xf>
    <xf numFmtId="0" fontId="97" fillId="21" borderId="5" xfId="0" applyFont="1" applyFill="1" applyBorder="1"/>
    <xf numFmtId="164" fontId="3" fillId="0" borderId="0" xfId="0" applyNumberFormat="1" applyFont="1"/>
    <xf numFmtId="164" fontId="79" fillId="4" borderId="14" xfId="1" applyNumberFormat="1" applyFont="1" applyFill="1" applyBorder="1" applyAlignment="1">
      <alignment horizontal="center"/>
    </xf>
    <xf numFmtId="164" fontId="79" fillId="4" borderId="15" xfId="1" applyNumberFormat="1" applyFont="1" applyFill="1" applyBorder="1" applyAlignment="1">
      <alignment horizontal="center"/>
    </xf>
    <xf numFmtId="166" fontId="57" fillId="4" borderId="2" xfId="2" applyNumberFormat="1" applyFont="1" applyFill="1" applyBorder="1" applyAlignment="1">
      <alignment horizontal="right"/>
    </xf>
    <xf numFmtId="166" fontId="57" fillId="4" borderId="0" xfId="2" applyNumberFormat="1" applyFont="1" applyFill="1" applyBorder="1" applyAlignment="1">
      <alignment horizontal="right"/>
    </xf>
    <xf numFmtId="166" fontId="35" fillId="4" borderId="5" xfId="2" applyNumberFormat="1" applyFont="1" applyFill="1" applyBorder="1" applyAlignment="1">
      <alignment horizontal="right"/>
    </xf>
    <xf numFmtId="164" fontId="59" fillId="0" borderId="56" xfId="1" applyNumberFormat="1" applyFont="1" applyBorder="1" applyAlignment="1">
      <alignment horizontal="left"/>
    </xf>
    <xf numFmtId="164" fontId="75" fillId="0" borderId="2" xfId="1" applyNumberFormat="1" applyFont="1" applyBorder="1" applyAlignment="1">
      <alignment horizontal="center"/>
    </xf>
    <xf numFmtId="164" fontId="75" fillId="0" borderId="0" xfId="1" applyNumberFormat="1" applyFont="1" applyBorder="1" applyAlignment="1">
      <alignment horizontal="center"/>
    </xf>
    <xf numFmtId="10" fontId="75" fillId="0" borderId="2" xfId="2" applyNumberFormat="1" applyFont="1" applyBorder="1" applyAlignment="1">
      <alignment horizontal="right"/>
    </xf>
    <xf numFmtId="10" fontId="75" fillId="0" borderId="0" xfId="2" applyNumberFormat="1" applyFont="1" applyBorder="1" applyAlignment="1">
      <alignment horizontal="right"/>
    </xf>
    <xf numFmtId="0" fontId="98" fillId="20" borderId="22" xfId="0" applyFont="1" applyFill="1" applyBorder="1"/>
    <xf numFmtId="0" fontId="85" fillId="20" borderId="22" xfId="0" applyFont="1" applyFill="1" applyBorder="1"/>
    <xf numFmtId="164" fontId="57" fillId="0" borderId="2" xfId="1" applyNumberFormat="1" applyFont="1" applyBorder="1" applyAlignment="1">
      <alignment horizontal="center"/>
    </xf>
    <xf numFmtId="164" fontId="57" fillId="0" borderId="0" xfId="1" applyNumberFormat="1" applyFont="1" applyBorder="1" applyAlignment="1">
      <alignment horizontal="center"/>
    </xf>
    <xf numFmtId="164" fontId="79" fillId="0" borderId="14" xfId="1" applyNumberFormat="1" applyFont="1" applyBorder="1" applyAlignment="1">
      <alignment horizontal="center"/>
    </xf>
    <xf numFmtId="164" fontId="79" fillId="0" borderId="15" xfId="1" applyNumberFormat="1" applyFont="1" applyBorder="1" applyAlignment="1">
      <alignment horizontal="center"/>
    </xf>
    <xf numFmtId="0" fontId="83" fillId="10" borderId="2" xfId="0" applyFont="1" applyFill="1" applyBorder="1" applyAlignment="1">
      <alignment horizontal="center"/>
    </xf>
    <xf numFmtId="0" fontId="83" fillId="10" borderId="0" xfId="0" applyFont="1" applyFill="1" applyAlignment="1">
      <alignment horizontal="center"/>
    </xf>
    <xf numFmtId="3" fontId="79" fillId="0" borderId="2" xfId="0" applyNumberFormat="1" applyFont="1" applyBorder="1" applyAlignment="1">
      <alignment horizontal="right"/>
    </xf>
    <xf numFmtId="3" fontId="79" fillId="0" borderId="0" xfId="0" applyNumberFormat="1" applyFont="1" applyAlignment="1">
      <alignment horizontal="right"/>
    </xf>
    <xf numFmtId="3" fontId="57" fillId="0" borderId="2" xfId="0" applyNumberFormat="1" applyFont="1" applyBorder="1" applyAlignment="1">
      <alignment horizontal="right"/>
    </xf>
    <xf numFmtId="3" fontId="57" fillId="0" borderId="0" xfId="0" applyNumberFormat="1" applyFont="1" applyAlignment="1">
      <alignment horizontal="right"/>
    </xf>
    <xf numFmtId="3" fontId="79" fillId="0" borderId="14" xfId="0" applyNumberFormat="1" applyFont="1" applyBorder="1" applyAlignment="1">
      <alignment horizontal="right"/>
    </xf>
    <xf numFmtId="3" fontId="79" fillId="0" borderId="15" xfId="0" applyNumberFormat="1" applyFont="1" applyBorder="1" applyAlignment="1">
      <alignment horizontal="right"/>
    </xf>
    <xf numFmtId="164" fontId="39" fillId="0" borderId="2" xfId="0" applyNumberFormat="1" applyFont="1" applyBorder="1" applyAlignment="1">
      <alignment horizontal="center"/>
    </xf>
    <xf numFmtId="164" fontId="39" fillId="0" borderId="0" xfId="0" applyNumberFormat="1" applyFont="1" applyAlignment="1">
      <alignment horizontal="center"/>
    </xf>
    <xf numFmtId="3" fontId="79" fillId="0" borderId="2" xfId="0" applyNumberFormat="1" applyFont="1" applyBorder="1"/>
    <xf numFmtId="3" fontId="79" fillId="0" borderId="0" xfId="0" applyNumberFormat="1" applyFont="1"/>
    <xf numFmtId="3" fontId="79" fillId="0" borderId="5" xfId="0" applyNumberFormat="1" applyFont="1" applyBorder="1"/>
    <xf numFmtId="3" fontId="99" fillId="11" borderId="2" xfId="0" applyNumberFormat="1" applyFont="1" applyFill="1" applyBorder="1" applyAlignment="1">
      <alignment horizontal="center"/>
    </xf>
    <xf numFmtId="3" fontId="99" fillId="11" borderId="0" xfId="0" applyNumberFormat="1" applyFont="1" applyFill="1" applyAlignment="1">
      <alignment horizontal="center"/>
    </xf>
    <xf numFmtId="3" fontId="100" fillId="0" borderId="2" xfId="0" applyNumberFormat="1" applyFont="1" applyBorder="1" applyAlignment="1">
      <alignment horizontal="center" vertical="center"/>
    </xf>
    <xf numFmtId="3" fontId="100" fillId="0" borderId="0" xfId="0" applyNumberFormat="1" applyFont="1" applyAlignment="1">
      <alignment horizontal="center" vertical="center"/>
    </xf>
    <xf numFmtId="3" fontId="43" fillId="0" borderId="5" xfId="0" applyNumberFormat="1" applyFont="1" applyBorder="1" applyAlignment="1">
      <alignment horizontal="center" vertical="center"/>
    </xf>
    <xf numFmtId="3" fontId="100" fillId="0" borderId="5" xfId="0" applyNumberFormat="1" applyFont="1" applyBorder="1" applyAlignment="1">
      <alignment horizontal="center" vertical="center"/>
    </xf>
    <xf numFmtId="9" fontId="100" fillId="0" borderId="2" xfId="0" applyNumberFormat="1" applyFont="1" applyBorder="1" applyAlignment="1">
      <alignment horizontal="center"/>
    </xf>
    <xf numFmtId="3" fontId="100" fillId="0" borderId="0" xfId="0" applyNumberFormat="1" applyFont="1" applyAlignment="1">
      <alignment horizontal="center"/>
    </xf>
    <xf numFmtId="3" fontId="101" fillId="0" borderId="2" xfId="0" applyNumberFormat="1" applyFont="1" applyBorder="1" applyAlignment="1">
      <alignment horizontal="center"/>
    </xf>
    <xf numFmtId="3" fontId="101" fillId="0" borderId="0" xfId="0" applyNumberFormat="1" applyFont="1" applyAlignment="1">
      <alignment horizontal="center"/>
    </xf>
    <xf numFmtId="3" fontId="101" fillId="0" borderId="5" xfId="0" applyNumberFormat="1" applyFont="1" applyBorder="1" applyAlignment="1">
      <alignment horizontal="center"/>
    </xf>
    <xf numFmtId="3" fontId="102" fillId="0" borderId="14" xfId="0" applyNumberFormat="1" applyFont="1" applyBorder="1" applyAlignment="1">
      <alignment horizontal="center" vertical="center"/>
    </xf>
    <xf numFmtId="3" fontId="102" fillId="0" borderId="15" xfId="0" applyNumberFormat="1" applyFont="1" applyBorder="1" applyAlignment="1">
      <alignment horizontal="center" vertical="center"/>
    </xf>
    <xf numFmtId="3" fontId="52" fillId="0" borderId="26" xfId="0" applyNumberFormat="1" applyFont="1" applyBorder="1" applyAlignment="1">
      <alignment horizontal="center" vertical="center"/>
    </xf>
    <xf numFmtId="3" fontId="102" fillId="0" borderId="17" xfId="0" applyNumberFormat="1" applyFont="1" applyBorder="1" applyAlignment="1">
      <alignment horizontal="center" vertical="center"/>
    </xf>
    <xf numFmtId="3" fontId="102" fillId="0" borderId="18" xfId="0" applyNumberFormat="1" applyFont="1" applyBorder="1" applyAlignment="1">
      <alignment horizontal="center" vertical="center"/>
    </xf>
    <xf numFmtId="3" fontId="102" fillId="0" borderId="19" xfId="0" applyNumberFormat="1" applyFont="1" applyBorder="1" applyAlignment="1">
      <alignment horizontal="center" vertical="center"/>
    </xf>
    <xf numFmtId="3" fontId="102" fillId="0" borderId="34" xfId="0" applyNumberFormat="1" applyFont="1" applyBorder="1" applyAlignment="1">
      <alignment horizontal="center" vertical="center"/>
    </xf>
    <xf numFmtId="3" fontId="102" fillId="0" borderId="35" xfId="0" applyNumberFormat="1" applyFont="1" applyBorder="1" applyAlignment="1">
      <alignment horizontal="center" vertical="center"/>
    </xf>
    <xf numFmtId="3" fontId="102" fillId="0" borderId="16" xfId="0" applyNumberFormat="1" applyFont="1" applyBorder="1" applyAlignment="1">
      <alignment horizontal="center" vertical="center"/>
    </xf>
    <xf numFmtId="0" fontId="103" fillId="5" borderId="2" xfId="0" applyFont="1" applyFill="1" applyBorder="1" applyAlignment="1">
      <alignment horizontal="center"/>
    </xf>
    <xf numFmtId="0" fontId="103" fillId="5" borderId="0" xfId="0" applyFont="1" applyFill="1" applyAlignment="1">
      <alignment horizontal="center"/>
    </xf>
    <xf numFmtId="164" fontId="57" fillId="0" borderId="2" xfId="1" applyNumberFormat="1" applyFont="1" applyBorder="1" applyAlignment="1">
      <alignment horizontal="center" vertical="center"/>
    </xf>
    <xf numFmtId="164" fontId="57" fillId="0" borderId="0" xfId="1" applyNumberFormat="1" applyFont="1" applyBorder="1" applyAlignment="1">
      <alignment horizontal="center" vertical="center"/>
    </xf>
    <xf numFmtId="164" fontId="35" fillId="0" borderId="5" xfId="1" applyNumberFormat="1" applyFont="1" applyBorder="1" applyAlignment="1">
      <alignment horizontal="center" vertical="center"/>
    </xf>
    <xf numFmtId="164" fontId="57" fillId="0" borderId="27" xfId="1" applyNumberFormat="1" applyFont="1" applyBorder="1" applyAlignment="1">
      <alignment horizontal="center" vertical="center"/>
    </xf>
    <xf numFmtId="164" fontId="57" fillId="0" borderId="28" xfId="1" applyNumberFormat="1" applyFont="1" applyBorder="1" applyAlignment="1">
      <alignment horizontal="center" vertical="center"/>
    </xf>
    <xf numFmtId="164" fontId="35" fillId="0" borderId="29" xfId="1" applyNumberFormat="1" applyFont="1" applyBorder="1" applyAlignment="1">
      <alignment horizontal="center" vertical="center"/>
    </xf>
    <xf numFmtId="0" fontId="103" fillId="0" borderId="2" xfId="0" applyFont="1" applyBorder="1" applyAlignment="1">
      <alignment horizontal="center"/>
    </xf>
    <xf numFmtId="0" fontId="103" fillId="0" borderId="0" xfId="0" applyFont="1" applyAlignment="1">
      <alignment horizontal="center"/>
    </xf>
    <xf numFmtId="0" fontId="83" fillId="5" borderId="5" xfId="0" applyFont="1" applyFill="1" applyBorder="1" applyAlignment="1">
      <alignment horizontal="center"/>
    </xf>
    <xf numFmtId="0" fontId="84" fillId="5" borderId="5" xfId="0" applyFont="1" applyFill="1" applyBorder="1" applyAlignment="1">
      <alignment horizontal="left" indent="1"/>
    </xf>
    <xf numFmtId="0" fontId="57" fillId="0" borderId="2" xfId="0" applyFont="1" applyBorder="1" applyAlignment="1">
      <alignment horizontal="center"/>
    </xf>
    <xf numFmtId="0" fontId="57" fillId="0" borderId="0" xfId="0" applyFont="1" applyAlignment="1">
      <alignment horizontal="center"/>
    </xf>
    <xf numFmtId="0" fontId="35" fillId="0" borderId="5" xfId="0" applyFont="1" applyBorder="1" applyAlignment="1">
      <alignment horizontal="center"/>
    </xf>
    <xf numFmtId="9" fontId="57" fillId="0" borderId="2" xfId="0" applyNumberFormat="1" applyFont="1" applyBorder="1" applyAlignment="1">
      <alignment horizontal="center"/>
    </xf>
    <xf numFmtId="9" fontId="57" fillId="0" borderId="0" xfId="0" applyNumberFormat="1" applyFont="1" applyAlignment="1">
      <alignment horizontal="center"/>
    </xf>
    <xf numFmtId="9" fontId="35" fillId="0" borderId="5" xfId="0" applyNumberFormat="1" applyFont="1" applyBorder="1" applyAlignment="1">
      <alignment horizontal="center"/>
    </xf>
    <xf numFmtId="164" fontId="86" fillId="8" borderId="2" xfId="1" applyNumberFormat="1" applyFont="1" applyFill="1" applyBorder="1"/>
    <xf numFmtId="164" fontId="86" fillId="8" borderId="0" xfId="1" applyNumberFormat="1" applyFont="1" applyFill="1" applyBorder="1"/>
    <xf numFmtId="3" fontId="104" fillId="11" borderId="2" xfId="0" applyNumberFormat="1" applyFont="1" applyFill="1" applyBorder="1" applyAlignment="1">
      <alignment horizontal="center"/>
    </xf>
    <xf numFmtId="3" fontId="104" fillId="11" borderId="0" xfId="0" applyNumberFormat="1" applyFont="1" applyFill="1" applyAlignment="1">
      <alignment horizontal="center"/>
    </xf>
    <xf numFmtId="3" fontId="105" fillId="0" borderId="2" xfId="1" applyNumberFormat="1" applyFont="1" applyBorder="1" applyAlignment="1">
      <alignment horizontal="center"/>
    </xf>
    <xf numFmtId="3" fontId="105" fillId="0" borderId="0" xfId="1" applyNumberFormat="1" applyFont="1" applyBorder="1" applyAlignment="1">
      <alignment horizontal="center"/>
    </xf>
    <xf numFmtId="0" fontId="2" fillId="0" borderId="0" xfId="0" applyFont="1"/>
    <xf numFmtId="3" fontId="82" fillId="8" borderId="2" xfId="1" applyNumberFormat="1" applyFont="1" applyFill="1" applyBorder="1" applyAlignment="1">
      <alignment horizontal="center"/>
    </xf>
    <xf numFmtId="3" fontId="82" fillId="8" borderId="0" xfId="1" applyNumberFormat="1" applyFont="1" applyFill="1" applyBorder="1" applyAlignment="1">
      <alignment horizontal="center"/>
    </xf>
    <xf numFmtId="3" fontId="15" fillId="8" borderId="5" xfId="1" applyNumberFormat="1" applyFont="1" applyFill="1" applyBorder="1"/>
    <xf numFmtId="3" fontId="105" fillId="0" borderId="28" xfId="1" applyNumberFormat="1" applyFont="1" applyBorder="1" applyAlignment="1">
      <alignment horizontal="center"/>
    </xf>
    <xf numFmtId="3" fontId="74" fillId="0" borderId="14" xfId="0" applyNumberFormat="1" applyFont="1" applyBorder="1" applyAlignment="1">
      <alignment horizontal="right"/>
    </xf>
    <xf numFmtId="3" fontId="74" fillId="0" borderId="2" xfId="0" applyNumberFormat="1" applyFont="1" applyBorder="1" applyAlignment="1">
      <alignment horizontal="right"/>
    </xf>
    <xf numFmtId="3" fontId="74" fillId="0" borderId="0" xfId="0" applyNumberFormat="1" applyFont="1" applyAlignment="1">
      <alignment horizontal="right"/>
    </xf>
    <xf numFmtId="3" fontId="105" fillId="0" borderId="27" xfId="1" applyNumberFormat="1" applyFont="1" applyBorder="1" applyAlignment="1">
      <alignment horizontal="center"/>
    </xf>
    <xf numFmtId="3" fontId="74" fillId="0" borderId="15" xfId="0" applyNumberFormat="1" applyFont="1" applyBorder="1" applyAlignment="1">
      <alignment horizontal="right"/>
    </xf>
    <xf numFmtId="3" fontId="58" fillId="0" borderId="2" xfId="0" applyNumberFormat="1" applyFont="1" applyBorder="1" applyAlignment="1">
      <alignment horizontal="center"/>
    </xf>
    <xf numFmtId="3" fontId="58" fillId="0" borderId="0" xfId="0" applyNumberFormat="1" applyFont="1" applyAlignment="1">
      <alignment horizontal="center"/>
    </xf>
    <xf numFmtId="164" fontId="18" fillId="4" borderId="5" xfId="1" applyNumberFormat="1" applyFont="1" applyFill="1" applyBorder="1" applyAlignment="1">
      <alignment horizontal="left"/>
    </xf>
    <xf numFmtId="164" fontId="39" fillId="0" borderId="17" xfId="0" applyNumberFormat="1" applyFont="1" applyBorder="1" applyAlignment="1">
      <alignment horizontal="center"/>
    </xf>
    <xf numFmtId="164" fontId="39" fillId="0" borderId="18" xfId="0" applyNumberFormat="1" applyFont="1" applyBorder="1" applyAlignment="1">
      <alignment horizontal="center"/>
    </xf>
    <xf numFmtId="164" fontId="24" fillId="0" borderId="19" xfId="0" applyNumberFormat="1" applyFont="1" applyBorder="1" applyAlignment="1">
      <alignment horizontal="center"/>
    </xf>
    <xf numFmtId="166" fontId="58" fillId="4" borderId="0" xfId="0" applyNumberFormat="1" applyFont="1" applyFill="1"/>
    <xf numFmtId="3" fontId="57" fillId="0" borderId="2" xfId="1" applyNumberFormat="1" applyFont="1" applyBorder="1" applyAlignment="1">
      <alignment horizontal="right"/>
    </xf>
    <xf numFmtId="3" fontId="57" fillId="0" borderId="0" xfId="1" applyNumberFormat="1" applyFont="1" applyBorder="1" applyAlignment="1">
      <alignment horizontal="right"/>
    </xf>
    <xf numFmtId="3" fontId="36" fillId="0" borderId="5" xfId="1" applyNumberFormat="1" applyFont="1" applyBorder="1" applyAlignment="1">
      <alignment horizontal="right"/>
    </xf>
    <xf numFmtId="3" fontId="35" fillId="0" borderId="5" xfId="1" applyNumberFormat="1" applyFont="1" applyBorder="1" applyAlignment="1">
      <alignment horizontal="right"/>
    </xf>
    <xf numFmtId="164" fontId="106" fillId="0" borderId="36" xfId="0" applyNumberFormat="1" applyFont="1" applyBorder="1" applyAlignment="1">
      <alignment horizontal="center"/>
    </xf>
    <xf numFmtId="164" fontId="106" fillId="0" borderId="37" xfId="0" applyNumberFormat="1" applyFont="1" applyBorder="1" applyAlignment="1">
      <alignment horizontal="center"/>
    </xf>
    <xf numFmtId="164" fontId="106" fillId="0" borderId="2" xfId="0" applyNumberFormat="1" applyFont="1" applyBorder="1" applyAlignment="1">
      <alignment horizontal="center"/>
    </xf>
    <xf numFmtId="164" fontId="106" fillId="0" borderId="0" xfId="0" applyNumberFormat="1" applyFont="1" applyAlignment="1">
      <alignment horizontal="center"/>
    </xf>
    <xf numFmtId="164" fontId="106" fillId="0" borderId="39" xfId="0" applyNumberFormat="1" applyFont="1" applyBorder="1" applyAlignment="1">
      <alignment horizontal="center"/>
    </xf>
    <xf numFmtId="164" fontId="106" fillId="0" borderId="40" xfId="0" applyNumberFormat="1" applyFont="1" applyBorder="1" applyAlignment="1">
      <alignment horizontal="center"/>
    </xf>
    <xf numFmtId="164" fontId="106" fillId="0" borderId="2" xfId="0" quotePrefix="1" applyNumberFormat="1" applyFont="1" applyBorder="1" applyAlignment="1">
      <alignment horizontal="center"/>
    </xf>
    <xf numFmtId="9" fontId="57" fillId="0" borderId="2" xfId="2" applyFont="1" applyBorder="1" applyAlignment="1">
      <alignment horizontal="right"/>
    </xf>
    <xf numFmtId="9" fontId="57" fillId="0" borderId="0" xfId="2" applyFont="1" applyBorder="1" applyAlignment="1">
      <alignment horizontal="right"/>
    </xf>
    <xf numFmtId="9" fontId="35" fillId="0" borderId="5" xfId="2" applyFont="1" applyBorder="1" applyAlignment="1">
      <alignment horizontal="right"/>
    </xf>
    <xf numFmtId="164" fontId="57" fillId="0" borderId="42" xfId="1" applyNumberFormat="1" applyFont="1" applyBorder="1" applyAlignment="1">
      <alignment horizontal="center"/>
    </xf>
    <xf numFmtId="164" fontId="57" fillId="0" borderId="43" xfId="1" applyNumberFormat="1" applyFont="1" applyBorder="1" applyAlignment="1">
      <alignment horizontal="center"/>
    </xf>
    <xf numFmtId="164" fontId="57" fillId="0" borderId="2" xfId="1" applyNumberFormat="1" applyFont="1" applyBorder="1" applyAlignment="1">
      <alignment horizontal="center" vertical="center" wrapText="1"/>
    </xf>
    <xf numFmtId="164" fontId="57" fillId="0" borderId="0" xfId="1" applyNumberFormat="1" applyFont="1" applyBorder="1" applyAlignment="1">
      <alignment horizontal="center" vertical="center" wrapText="1"/>
    </xf>
    <xf numFmtId="164" fontId="35" fillId="0" borderId="5" xfId="1" applyNumberFormat="1" applyFont="1" applyBorder="1" applyAlignment="1">
      <alignment horizontal="center" vertical="center" wrapText="1"/>
    </xf>
    <xf numFmtId="164" fontId="79" fillId="0" borderId="47" xfId="1" applyNumberFormat="1" applyFont="1" applyBorder="1" applyAlignment="1">
      <alignment horizontal="center"/>
    </xf>
    <xf numFmtId="164" fontId="79" fillId="0" borderId="49" xfId="1" applyNumberFormat="1" applyFont="1" applyBorder="1" applyAlignment="1">
      <alignment horizontal="center"/>
    </xf>
    <xf numFmtId="0" fontId="64" fillId="0" borderId="48" xfId="0" applyFont="1" applyBorder="1"/>
    <xf numFmtId="0" fontId="12" fillId="0" borderId="48" xfId="0" applyFont="1" applyBorder="1"/>
    <xf numFmtId="0" fontId="37" fillId="0" borderId="5" xfId="0" applyFont="1" applyBorder="1"/>
    <xf numFmtId="0" fontId="0" fillId="2" borderId="0" xfId="0" applyFill="1"/>
    <xf numFmtId="164" fontId="71" fillId="0" borderId="54" xfId="1" applyNumberFormat="1" applyFont="1" applyBorder="1" applyAlignment="1">
      <alignment horizontal="left"/>
    </xf>
    <xf numFmtId="0" fontId="9" fillId="6" borderId="30" xfId="0" applyFont="1" applyFill="1" applyBorder="1" applyAlignment="1">
      <alignment horizontal="center"/>
    </xf>
    <xf numFmtId="0" fontId="10" fillId="5" borderId="30" xfId="0" applyFont="1" applyFill="1" applyBorder="1" applyAlignment="1">
      <alignment horizontal="left" indent="1"/>
    </xf>
    <xf numFmtId="164" fontId="57" fillId="0" borderId="5" xfId="1" applyNumberFormat="1" applyFont="1" applyBorder="1" applyAlignment="1">
      <alignment horizontal="center"/>
    </xf>
    <xf numFmtId="164" fontId="79" fillId="0" borderId="5" xfId="1" applyNumberFormat="1" applyFont="1" applyBorder="1" applyAlignment="1">
      <alignment horizontal="center"/>
    </xf>
    <xf numFmtId="0" fontId="62" fillId="0" borderId="30" xfId="0" applyFont="1" applyBorder="1" applyAlignment="1">
      <alignment horizontal="left" indent="1"/>
    </xf>
    <xf numFmtId="0" fontId="0" fillId="0" borderId="5" xfId="0" applyBorder="1"/>
    <xf numFmtId="0" fontId="14" fillId="8" borderId="2" xfId="0" applyFont="1" applyFill="1" applyBorder="1" applyAlignment="1">
      <alignment horizontal="left" vertical="top" wrapText="1" indent="2"/>
    </xf>
    <xf numFmtId="0" fontId="14" fillId="15" borderId="2" xfId="0" applyFont="1" applyFill="1" applyBorder="1" applyAlignment="1">
      <alignment horizontal="left" indent="2"/>
    </xf>
    <xf numFmtId="0" fontId="27" fillId="0" borderId="0" xfId="0" applyFont="1"/>
    <xf numFmtId="164" fontId="57" fillId="14" borderId="2" xfId="1" applyNumberFormat="1" applyFont="1" applyFill="1" applyBorder="1" applyAlignment="1">
      <alignment horizontal="center"/>
    </xf>
    <xf numFmtId="164" fontId="57" fillId="14" borderId="0" xfId="1" applyNumberFormat="1" applyFont="1" applyFill="1" applyBorder="1" applyAlignment="1">
      <alignment horizontal="center"/>
    </xf>
    <xf numFmtId="164" fontId="57" fillId="14" borderId="5" xfId="1" applyNumberFormat="1" applyFont="1" applyFill="1" applyBorder="1" applyAlignment="1">
      <alignment horizontal="center"/>
    </xf>
    <xf numFmtId="164" fontId="79" fillId="14" borderId="2" xfId="1" applyNumberFormat="1" applyFont="1" applyFill="1" applyBorder="1" applyAlignment="1">
      <alignment horizontal="center"/>
    </xf>
    <xf numFmtId="164" fontId="79" fillId="14" borderId="0" xfId="1" applyNumberFormat="1" applyFont="1" applyFill="1" applyBorder="1" applyAlignment="1">
      <alignment horizontal="center"/>
    </xf>
    <xf numFmtId="164" fontId="79" fillId="14" borderId="5" xfId="1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20">
    <dxf>
      <font>
        <color theme="5" tint="-0.499984740745262"/>
      </font>
      <fill>
        <patternFill>
          <bgColor theme="5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>
  <Task id="{CC3130C7-0A53-4201-9037-4397B7E06ECE}">
    <Anchor>
      <Comment id="{57CF1716-B31B-4ABF-9426-C598BA453DA9}"/>
    </Anchor>
    <History>
      <Event time="2025-05-28T06:12:30.75" id="{B1430039-2511-4BFE-A058-ED1DE96C91CD}">
        <Attribution userId="S::Polidoro.Beatriz@kpmg.nl::b4b0cb5d-0982-450e-89ff-7ee5f17eb711" userName="Polidoro, Beatriz" userProvider="AD"/>
        <Anchor>
          <Comment id="{57CF1716-B31B-4ABF-9426-C598BA453DA9}"/>
        </Anchor>
        <Create/>
      </Event>
      <Event time="2025-05-28T06:12:30.75" id="{35F0CD4A-B4B1-4446-AFCB-A7175E0C1811}">
        <Attribution userId="S::Polidoro.Beatriz@kpmg.nl::b4b0cb5d-0982-450e-89ff-7ee5f17eb711" userName="Polidoro, Beatriz" userProvider="AD"/>
        <Anchor>
          <Comment id="{57CF1716-B31B-4ABF-9426-C598BA453DA9}"/>
        </Anchor>
        <Assign userId="S::Conradie.Juan-Rico@kpmg.nl::8dbd2974-0e01-48e6-992e-dfa0b0340046" userName="Conradie, Juan-Rico" userProvider="AD"/>
      </Event>
      <Event time="2025-05-28T06:12:30.75" id="{964D9CCC-735F-44A1-807B-61CC186B2E6B}">
        <Attribution userId="S::Polidoro.Beatriz@kpmg.nl::b4b0cb5d-0982-450e-89ff-7ee5f17eb711" userName="Polidoro, Beatriz" userProvider="AD"/>
        <Anchor>
          <Comment id="{57CF1716-B31B-4ABF-9426-C598BA453DA9}"/>
        </Anchor>
        <SetTitle title="@Conradie, Juan-Rico why the -4/+4?"/>
      </Event>
    </History>
  </Task>
</Tasks>
</file>

<file path=xl/documenttasks/documenttask2.xml><?xml version="1.0" encoding="utf-8"?>
<Tasks xmlns="http://schemas.microsoft.com/office/tasks/2019/documenttasks">
  <Task id="{9842E5A9-C62B-4AAF-81F6-BAC7FADC79D3}">
    <Anchor>
      <Comment id="{C666EDF7-719B-464D-8B5F-79E95A4859B2}"/>
    </Anchor>
    <History>
      <Event time="2025-07-15T10:22:11.04" id="{7890EA45-5F96-477E-A38D-A4218EFC09C8}">
        <Attribution userId="S::Polidoro.Beatriz@kpmg.nl::b4b0cb5d-0982-450e-89ff-7ee5f17eb711" userName="Polidoro, Beatriz" userProvider="AD"/>
        <Anchor>
          <Comment id="{C666EDF7-719B-464D-8B5F-79E95A4859B2}"/>
        </Anchor>
        <Create/>
      </Event>
      <Event time="2025-07-15T10:22:11.04" id="{732D6668-AE41-4203-B940-11B280DE18C3}">
        <Attribution userId="S::Polidoro.Beatriz@kpmg.nl::b4b0cb5d-0982-450e-89ff-7ee5f17eb711" userName="Polidoro, Beatriz" userProvider="AD"/>
        <Anchor>
          <Comment id="{C666EDF7-719B-464D-8B5F-79E95A4859B2}"/>
        </Anchor>
        <Assign userId="S::Watermeyer.Caroline@kpmg.nl::656b9769-eb14-4b4d-96c0-d41561f183cc" userName="Watermeyer, Caroline" userProvider="AD"/>
      </Event>
      <Event time="2025-07-15T10:22:11.04" id="{8B4BCD41-5BFE-4C12-86FD-D0BA72169AC9}">
        <Attribution userId="S::Polidoro.Beatriz@kpmg.nl::b4b0cb5d-0982-450e-89ff-7ee5f17eb711" userName="Polidoro, Beatriz" userProvider="AD"/>
        <Anchor>
          <Comment id="{C666EDF7-719B-464D-8B5F-79E95A4859B2}"/>
        </Anchor>
        <SetTitle title="@Watermeyer, Caroline can you confirm this part with JR? I see that last year we reported on these values so there must be a way to retrieve them"/>
      </Event>
      <Event time="2025-08-05T07:06:49.59" id="{94BF7530-6F17-4E09-9919-E0DBAB3DAE32}">
        <Attribution userId="S::Polidoro.Beatriz@kpmg.nl::b4b0cb5d-0982-450e-89ff-7ee5f17eb711" userName="Polidoro, Beatriz" userProvider="AD"/>
        <Progress percentComplete="100"/>
      </Event>
    </History>
  </Task>
  <Task id="{FEA407DC-43FE-4EE4-A15C-603D5A21CF99}">
    <Anchor>
      <Comment id="{7F078F3E-C693-4402-B111-AEF5A0615734}"/>
    </Anchor>
    <History>
      <Event time="2025-07-15T10:22:11.04" id="{7890EA45-5F96-477E-A38D-A4218EFC09C8}">
        <Attribution userId="S::Polidoro.Beatriz@kpmg.nl::b4b0cb5d-0982-450e-89ff-7ee5f17eb711" userName="Polidoro, Beatriz" userProvider="AD"/>
        <Anchor>
          <Comment id="{7F078F3E-C693-4402-B111-AEF5A0615734}"/>
        </Anchor>
        <Create/>
      </Event>
      <Event time="2025-07-15T10:22:11.04" id="{732D6668-AE41-4203-B940-11B280DE18C3}">
        <Attribution userId="S::Polidoro.Beatriz@kpmg.nl::b4b0cb5d-0982-450e-89ff-7ee5f17eb711" userName="Polidoro, Beatriz" userProvider="AD"/>
        <Anchor>
          <Comment id="{7F078F3E-C693-4402-B111-AEF5A0615734}"/>
        </Anchor>
        <Assign userId="S::Watermeyer.Caroline@kpmg.nl::656b9769-eb14-4b4d-96c0-d41561f183cc" userName="Watermeyer, Caroline" userProvider="AD"/>
      </Event>
      <Event time="2025-07-15T10:22:11.04" id="{8B4BCD41-5BFE-4C12-86FD-D0BA72169AC9}">
        <Attribution userId="S::Polidoro.Beatriz@kpmg.nl::b4b0cb5d-0982-450e-89ff-7ee5f17eb711" userName="Polidoro, Beatriz" userProvider="AD"/>
        <Anchor>
          <Comment id="{7F078F3E-C693-4402-B111-AEF5A0615734}"/>
        </Anchor>
        <SetTitle title="@Watermeyer, Caroline can you confirm this part with JR? I see that last year we reported on these values so there must be a way to retrieve them"/>
      </Event>
      <Event time="2025-08-05T07:06:52.59" id="{8F873809-90DA-4B9D-BA9B-373933D2C443}">
        <Attribution userId="S::Polidoro.Beatriz@kpmg.nl::b4b0cb5d-0982-450e-89ff-7ee5f17eb711" userName="Polidoro, Beatriz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4359088</xdr:colOff>
      <xdr:row>452</xdr:row>
      <xdr:rowOff>22411</xdr:rowOff>
    </xdr:from>
    <xdr:to>
      <xdr:col>10</xdr:col>
      <xdr:colOff>65476</xdr:colOff>
      <xdr:row>493</xdr:row>
      <xdr:rowOff>11645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655E43-8B2D-409B-B535-8F67B473D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8163" y="64706686"/>
          <a:ext cx="8298438" cy="77997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drive-global.kpmg.com/personal/gupta_arnab_kpmg_nl/Documents/SOTI/202603%20Databook%20State%20of%20the%20Insurers%20FY26.xlsx" TargetMode="External"/><Relationship Id="rId1" Type="http://schemas.openxmlformats.org/officeDocument/2006/relationships/externalLinkPath" Target="202603%20Databook%20State%20of%20the%20Insurers%20FY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_Sheet"/>
      <sheetName val="_TM_Graphs_Income"/>
      <sheetName val="W_Mappings_FS"/>
      <sheetName val="Graphs 2023"/>
      <sheetName val="Outputs&gt;&gt;"/>
      <sheetName val="O_At a glance"/>
      <sheetName val="O_Macro-economic trends"/>
      <sheetName val="O_Financial Performance ICP"/>
      <sheetName val="O_Financial Performance BS"/>
      <sheetName val="O_Capital &amp; Financial position"/>
      <sheetName val="O_Financial Performance PL"/>
      <sheetName val="Worksheet&gt;&gt;"/>
      <sheetName val="W_Mappings_FS_IFRS17_OLD"/>
      <sheetName val="W_Mappings_FS_IFRS17"/>
      <sheetName val="Results mapping"/>
      <sheetName val="Input&gt;&gt;"/>
      <sheetName val="D_NN IFRS17 (old)"/>
      <sheetName val="D_Athora NL IFRS17 (old)"/>
      <sheetName val="D_ASR IFRS 17 (old)"/>
      <sheetName val="D_Achmea IFRS17 (old)"/>
      <sheetName val="Achmea"/>
      <sheetName val="ASR"/>
      <sheetName val="Athora"/>
      <sheetName val="Questions"/>
      <sheetName val="Questions v2"/>
      <sheetName val="NN"/>
      <sheetName val="International benchmark"/>
      <sheetName val="Graveyard ---&gt;"/>
      <sheetName val="InsServResult_Graphs"/>
      <sheetName val="InvestResult_Graphs"/>
      <sheetName val="DS_INTERNAL_DOCUMENT_STORAGE"/>
      <sheetName val="DS_INTERNAL_SETTINGS_STORAGE"/>
      <sheetName val="DS_INTERNAL_DOCGROUP_STORAGE"/>
      <sheetName val="DS_INTERNAL_SNIP_STOR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W" id="{BC644C8C-AC3A-4AC0-99C1-8DE13AE223B2}" userId="CW" providerId="None"/>
  <person displayName="Conradie, Juan-Rico" id="{7EBABED6-F62E-48F7-903E-71606AFCF841}" userId="Conradie.Juan-Rico@kpmg.nl" providerId="PeoplePicker"/>
  <person displayName="Watermeyer, Caroline" id="{39FA797F-35AA-4D02-9677-55F5D673CC25}" userId="Watermeyer.Caroline@kpmg.nl" providerId="PeoplePicker"/>
  <person displayName="Korf, Annefleur" id="{4659BD26-C163-4652-AAEF-099824AEF474}" userId="S::Korf.Annefleur@kpmg.nl::c7d638f6-a576-45fd-8fbb-a3d94e754271" providerId="AD"/>
  <person displayName="Korf, Annefleur" id="{6787E9FD-74E6-40C8-AC71-4A6FD9DB5F32}" userId="S::korf.annefleur@kpmg.nl::c7d638f6-a576-45fd-8fbb-a3d94e754271" providerId="AD"/>
  <person displayName="Polidoro, Beatriz" id="{FC693E13-5707-44A8-8E4E-83EA714D7335}" userId="S::Polidoro.Beatriz@kpmg.nl::b4b0cb5d-0982-450e-89ff-7ee5f17eb71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35" dT="2025-06-05T09:30:36.62" personId="{FC693E13-5707-44A8-8E4E-83EA714D7335}" id="{12012211-53BE-41CB-911A-63B68F671951}">
    <text>Inconsistency with 61 of page 319</text>
  </threadedComment>
  <threadedComment ref="E247" dT="2025-05-08T16:58:43.64" personId="{FC693E13-5707-44A8-8E4E-83EA714D7335}" id="{744FCD5E-C7BD-4EA3-B936-8C0385AFD367}">
    <text>Different than CSM maturity overview 1,027.</text>
  </threadedComment>
  <threadedComment ref="E247" dT="2025-06-27T15:08:47.62" personId="{6787E9FD-74E6-40C8-AC71-4A6FD9DB5F32}" id="{C6CA382F-6D4C-4FBF-9E87-AFFDA4E78B45}" parentId="{744FCD5E-C7BD-4EA3-B936-8C0385AFD367}">
    <text>The 1032 consists of
- insurance contracts assets of 5 (pg. 319)
- insurance contracts liabilities of 1.027 (pg. 319)</text>
  </threadedComment>
  <threadedComment ref="F368" dT="2025-05-28T06:12:30.75" personId="{FC693E13-5707-44A8-8E4E-83EA714D7335}" id="{57CF1716-B31B-4ABF-9426-C598BA453DA9}">
    <text>@Conradie, Juan-Rico why the -4/+4?</text>
    <mentions>
      <mention mentionpersonId="{7EBABED6-F62E-48F7-903E-71606AFCF841}" mentionId="{BC88444B-E287-4257-857D-66A41EEFAE49}" startIndex="0" length="20"/>
    </mentions>
  </threadedComment>
  <threadedComment ref="E408" dT="2025-07-23T06:40:33.47" personId="{FC693E13-5707-44A8-8E4E-83EA714D7335}" id="{071F4DA8-A5D2-48DC-A564-1532B93257D6}">
    <text>International premiums for life not disclosed openly compared to other years</text>
  </threadedComment>
  <threadedComment ref="G501" dT="2025-06-05T11:24:09.45" personId="{FC693E13-5707-44A8-8E4E-83EA714D7335}" id="{D3505EF0-B003-4DE4-A05C-38F69ABB7462}">
    <text>Disclosures have changed in 2024 for this category</text>
  </threadedComment>
  <threadedComment ref="E509" dT="2025-06-27T08:33:11.95" personId="{6787E9FD-74E6-40C8-AC71-4A6FD9DB5F32}" id="{61166EE5-C425-49EB-AB7B-E03CF2273694}">
    <text>Rounding diff of 1. In financial statements this is corrected already in sub-total (i.e. sub-total is shown as 75.400), whereas excel calculates based on actuals. Agreed. </text>
  </threadedComment>
  <threadedComment ref="F509" dT="2025-06-27T08:33:21.34" personId="{6787E9FD-74E6-40C8-AC71-4A6FD9DB5F32}" id="{17C145F9-C5D6-44F1-B9E7-7215188BE82C}">
    <text>Rounding difference of 2. In financial statements this is corrected already in sub-total (i.e. sub-total is shown as 70.702), whereas excel calculates based on actuals. Agreed. </text>
  </threadedComment>
  <threadedComment ref="E511" dT="2025-06-18T14:16:48.95" personId="{FC693E13-5707-44A8-8E4E-83EA714D7335}" id="{D6BDB319-A863-425C-B0F7-CEA48DBB801C}">
    <text>For audit: Are we missing something? Why not matching with row 483?</text>
  </threadedComment>
  <threadedComment ref="E511" dT="2025-07-01T09:03:51.79" personId="{6787E9FD-74E6-40C8-AC71-4A6FD9DB5F32}" id="{4934D18C-860B-448D-B768-C7921944250F}" parentId="{D6BDB319-A863-425C-B0F7-CEA48DBB801C}">
    <text>This pertains to row 481 investment property (i.e. 75.400 - 717 = 74.683). 
The disclosure note on page 299 also does not include investment property. 
The Investment Property ad EUR 717 should be added to row 509 FVTPL.
Now reconciles.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3" dT="2025-05-14T06:25:56.84" personId="{FC693E13-5707-44A8-8E4E-83EA714D7335}" id="{9B5A2D35-E36B-4721-B7F6-225B36CA1F41}">
    <text>Rounding error of 1€</text>
  </threadedComment>
  <threadedComment ref="E38" dT="2025-05-14T15:24:08.07" personId="{FC693E13-5707-44A8-8E4E-83EA714D7335}" id="{B8D38981-691D-441A-810D-08700E975FA6}">
    <text>"Pre-recognition cash flows amounting € 11 million (2023: € 11 million) mainly concern acquisition cash flows
relating to insurance contracts, specifically Werknemerspensioen, not yet recognised."</text>
  </threadedComment>
  <threadedComment ref="E44" dT="2025-05-22T07:24:22.95" personId="{FC693E13-5707-44A8-8E4E-83EA714D7335}" id="{F59777D3-2737-4E59-8473-669D153C84B6}">
    <text>Removing FCF from LIC othewise it is double counted</text>
  </threadedComment>
  <threadedComment ref="E284" dT="2025-05-15T10:11:13.39" personId="{FC693E13-5707-44A8-8E4E-83EA714D7335}" id="{1DFB7B79-9D23-4DCB-8E90-08F3143B3CB2}">
    <text>Opening balances are all short of 1€ when compared to closing balances of the previous year with no explanation for the differences</text>
  </threadedComment>
  <threadedComment ref="G395" dT="2025-07-23T12:35:30.88" personId="{FC693E13-5707-44A8-8E4E-83EA714D7335}" id="{84CBF99D-FB91-4700-99B0-8B214DCB10E4}">
    <text>Includes DC inflow to be comparable with the other years!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40" dT="2025-05-16T08:38:50.86" personId="{BC644C8C-AC3A-4AC0-99C1-8DE13AE223B2}" id="{A9834B18-B84C-4CD2-9EE8-387CB6989B85}">
    <text>Rounding</text>
  </threadedComment>
  <threadedComment ref="E74" dT="2025-05-21T13:15:14.49" personId="{BC644C8C-AC3A-4AC0-99C1-8DE13AE223B2}" id="{E8F1F34A-148D-47A4-9D09-452776D1D8BD}">
    <text>Can recalc exp adj: 1754 - 1721</text>
  </threadedComment>
  <threadedComment ref="E95" dT="2025-05-16T09:42:46.91" personId="{BC644C8C-AC3A-4AC0-99C1-8DE13AE223B2}" id="{2209CB51-2B27-422C-B756-93AD627962E7}">
    <text>Rounding of 1</text>
  </threadedComment>
  <threadedComment ref="E109" dT="2025-05-20T13:40:31.88" personId="{BC644C8C-AC3A-4AC0-99C1-8DE13AE223B2}" id="{BA1E2A6B-8B81-4CDD-9CE8-05B79668909B}">
    <text>Note - 2024 splits are slightly different</text>
  </threadedComment>
  <threadedComment ref="F129" dT="2025-05-23T13:06:11.64" personId="{BC644C8C-AC3A-4AC0-99C1-8DE13AE223B2}" id="{820ACC84-EE27-401D-9D27-602CC30F7503}">
    <text>Off by 1</text>
  </threadedComment>
  <threadedComment ref="F166" dT="2025-05-23T13:07:47.65" personId="{BC644C8C-AC3A-4AC0-99C1-8DE13AE223B2}" id="{53782D7C-D8BA-460D-9EC4-833617DAEED9}">
    <text>Casting error / rounding of 1</text>
  </threadedComment>
  <threadedComment ref="E178" dT="2025-06-05T14:30:04.91" personId="{FC693E13-5707-44A8-8E4E-83EA714D7335}" id="{2C90C7AA-ED14-4C22-925E-80A67A17734F}">
    <text>Include casting error</text>
  </threadedComment>
  <threadedComment ref="F300" dT="2025-05-20T08:41:56.66" personId="{BC644C8C-AC3A-4AC0-99C1-8DE13AE223B2}" id="{39DD410C-3A78-416E-A754-4144E371AE6D}">
    <text>Sum of 1a.1 - 1a.4 = 13,985 (pg 115 of 2024 FS)</text>
  </threadedComment>
  <threadedComment ref="E301" dT="2025-05-20T08:43:04.48" personId="{BC644C8C-AC3A-4AC0-99C1-8DE13AE223B2}" id="{EACEB95B-6D60-4570-9CB1-06E7049C4FE5}">
    <text xml:space="preserve">To be consistent with PY, 16,832 (pg 115) includes all bonds, so removed sovereign bonds from the total </text>
  </threadedComment>
  <threadedComment ref="E305" dT="2025-05-22T08:06:11.93" personId="{BC644C8C-AC3A-4AC0-99C1-8DE13AE223B2}" id="{D5279A2D-A247-4063-9FDA-1B7164A44373}">
    <text>To be consistent with PY, included mortgages and private loans in here</text>
  </threadedComment>
  <threadedComment ref="F305" dT="2025-05-20T08:45:52.18" personId="{BC644C8C-AC3A-4AC0-99C1-8DE13AE223B2}" id="{94E3AC87-54DD-43E1-95B6-C3ABE6016756}">
    <text>This includes mortgages and private loans</text>
  </threadedComment>
  <threadedComment ref="E307" dT="2025-05-22T08:08:56.81" personId="{BC644C8C-AC3A-4AC0-99C1-8DE13AE223B2}" id="{DBE951F5-ABFB-40B6-BBFC-A5BBC0098D80}">
    <text>Casting error of 1 in FS</text>
  </threadedComment>
  <threadedComment ref="D310" dT="2025-05-23T12:26:16.09" personId="{BC644C8C-AC3A-4AC0-99C1-8DE13AE223B2}" id="{771EFE81-5DF5-4A39-8D91-E9557125B521}">
    <text>I have added this line - not sure why this was left out last year too? Should we include these numbers are  we excluding as the more a receivable?</text>
  </threadedComment>
  <threadedComment ref="D310" dT="2025-07-01T10:09:58.08" personId="{6787E9FD-74E6-40C8-AC71-4A6FD9DB5F32}" id="{7EBCACE9-C084-456A-BDB6-A1CC720326B6}" parentId="{771EFE81-5DF5-4A39-8D91-E9557125B521}">
    <text>This pertains to cash collateral. All other insurers present the cash collateral in the other assets/liabilities, thus to be consistent correct that we do not include it here</text>
  </threadedComment>
  <threadedComment ref="E333" dT="2025-06-30T14:14:33.82" personId="{4659BD26-C163-4652-AAEF-099824AEF474}" id="{51837E41-FA3F-4C75-870C-84B5F59DD642}">
    <text>Adjusted such that only the Derivative Asset is presented (previously the net balance was included here).
Same holds for columns F/G</text>
  </threadedComment>
  <threadedComment ref="E336" dT="2025-05-23T12:48:11.91" personId="{BC644C8C-AC3A-4AC0-99C1-8DE13AE223B2}" id="{E35E8785-46F9-4CF6-B51E-3D6B34BF0919}">
    <text>Rounding of 2</text>
  </threadedComment>
  <threadedComment ref="E339" dT="2025-06-18T14:45:16.87" personId="{FC693E13-5707-44A8-8E4E-83EA714D7335}" id="{9AB2ACC1-9698-4381-AAC0-96D826B2AD4C}">
    <text>For audit: Is this correct? Why doesnt it match with line 335?</text>
  </threadedComment>
  <threadedComment ref="E339" dT="2025-06-30T14:19:26.74" personId="{4659BD26-C163-4652-AAEF-099824AEF474}" id="{A5F99363-5A8C-4C1E-845F-FF42C426CAFD}" parentId="{9AB2ACC1-9698-4381-AAC0-96D826B2AD4C}">
    <text xml:space="preserve">The breakdown above is per disclosure note 4 (investment property) and note 5 (investments). 
We do 2 things:
1) we add investment property to get to total investments: +830 (row 329). This is also FVTPL
2) we subtract the cash collateral /-/ 2608 (row 310 is kept empty). This is also FVTPL.
Net difference is EUR 1.780 (minus rounding diff of 2). 
</text>
  </threadedComment>
  <threadedComment ref="F339" dT="2025-06-18T14:45:16.87" personId="{FC693E13-5707-44A8-8E4E-83EA714D7335}" id="{6B3AE3B8-8339-41BE-A718-DF9D2B5D0FC5}">
    <text>For audit: Is this correct? Why doesnt it match with line 335?</text>
  </threadedComment>
  <threadedComment ref="G339" dT="2025-06-18T14:43:31.99" personId="{FC693E13-5707-44A8-8E4E-83EA714D7335}" id="{6AB77687-6647-4345-8C7B-E9D864E94DA5}">
    <text>For audit: Where can we get the total value? It seems we can only find the FVTPL of the general account inv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43" dT="2025-05-23T14:45:14.40" personId="{BC644C8C-AC3A-4AC0-99C1-8DE13AE223B2}" id="{2536C22D-D558-47A1-A92D-606D09BC956F}">
    <text>Not available in the FS. Can get the split of total PVFCF, but then not split between LRC and LIC</text>
  </threadedComment>
  <threadedComment ref="E135" dT="2025-05-23T15:20:58.40" personId="{BC644C8C-AC3A-4AC0-99C1-8DE13AE223B2}" id="{746DBF34-5E15-440D-A5F2-239422B31816}">
    <text>This is the FV movements excluding Investment prop. Investment prop included in other below</text>
  </threadedComment>
  <threadedComment ref="D208" dT="2025-06-19T07:51:39.34" personId="{FC693E13-5707-44A8-8E4E-83EA714D7335}" id="{D3D78F4E-1FFA-4C0D-B1FC-5B2857E753FA}">
    <text>For audit: we couldnt find this split</text>
  </threadedComment>
  <threadedComment ref="D294" dT="2025-07-15T10:22:11.04" personId="{FC693E13-5707-44A8-8E4E-83EA714D7335}" id="{C666EDF7-719B-464D-8B5F-79E95A4859B2}" done="1">
    <text>@Watermeyer, Caroline can you confirm this part with JR? I see that last year we reported on these values so there must be a way to retrieve them</text>
    <mentions>
      <mention mentionpersonId="{39FA797F-35AA-4D02-9677-55F5D673CC25}" mentionId="{E1DA088A-DEFB-47FC-8B6C-9415E5D497C3}" startIndex="0" length="21"/>
    </mentions>
  </threadedComment>
  <threadedComment ref="D304" dT="2025-07-15T10:22:11.04" personId="{FC693E13-5707-44A8-8E4E-83EA714D7335}" id="{7F078F3E-C693-4402-B111-AEF5A0615734}" done="1">
    <text>@Watermeyer, Caroline can you confirm this part with JR? I see that last year we reported on these values so there must be a way to retrieve them</text>
    <mentions>
      <mention mentionpersonId="{39FA797F-35AA-4D02-9677-55F5D673CC25}" mentionId="{2C57DC08-A9FF-42E9-9BB1-3CA92B3335B9}" startIndex="0" length="2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1556-9DC8-49BD-8195-083453FA0E61}">
  <sheetPr>
    <tabColor rgb="FF0070C0"/>
  </sheetPr>
  <dimension ref="A1:N515"/>
  <sheetViews>
    <sheetView showGridLines="0" tabSelected="1" topLeftCell="A334" zoomScale="85" workbookViewId="0">
      <selection activeCell="E364" sqref="E364"/>
    </sheetView>
  </sheetViews>
  <sheetFormatPr defaultColWidth="9.140625" defaultRowHeight="15" outlineLevelRow="1" x14ac:dyDescent="0.25"/>
  <cols>
    <col min="1" max="1" width="9.140625" customWidth="1"/>
    <col min="2" max="2" width="5.140625" customWidth="1"/>
    <col min="3" max="3" width="17.28515625" customWidth="1"/>
    <col min="4" max="4" width="55.7109375" customWidth="1"/>
    <col min="5" max="5" width="17.5703125" style="426" customWidth="1"/>
    <col min="6" max="6" width="17.5703125" style="345" customWidth="1"/>
    <col min="7" max="7" width="17.5703125" style="427" customWidth="1"/>
    <col min="8" max="8" width="34.7109375" style="428" customWidth="1"/>
    <col min="9" max="9" width="171.28515625" style="428" customWidth="1"/>
    <col min="10" max="14" width="17.5703125" customWidth="1"/>
    <col min="16" max="16" width="14.140625" customWidth="1"/>
  </cols>
  <sheetData>
    <row r="1" spans="1:11" ht="15.75" customHeight="1" x14ac:dyDescent="0.25">
      <c r="A1" s="1"/>
      <c r="B1" s="2" t="s">
        <v>0</v>
      </c>
      <c r="C1" s="2"/>
      <c r="D1" s="2"/>
      <c r="E1" s="3"/>
      <c r="F1" s="4"/>
      <c r="G1" s="4"/>
      <c r="H1" s="4"/>
      <c r="I1" s="4"/>
    </row>
    <row r="2" spans="1:11" ht="11.25" customHeight="1" x14ac:dyDescent="0.25">
      <c r="A2" s="1"/>
      <c r="B2" s="2"/>
      <c r="C2" s="2"/>
      <c r="D2" s="2"/>
      <c r="E2" s="3"/>
      <c r="F2" s="4"/>
      <c r="G2" s="4"/>
      <c r="H2" s="4"/>
      <c r="I2" s="4"/>
    </row>
    <row r="3" spans="1:11" ht="24" customHeight="1" x14ac:dyDescent="0.25">
      <c r="A3" s="5"/>
      <c r="B3" s="6" t="s">
        <v>1</v>
      </c>
      <c r="C3" s="6"/>
      <c r="D3" s="7"/>
      <c r="E3" s="8"/>
      <c r="F3" s="9"/>
      <c r="G3" s="9"/>
      <c r="H3" s="9"/>
      <c r="I3" s="9"/>
    </row>
    <row r="4" spans="1:11" x14ac:dyDescent="0.25">
      <c r="A4" s="10"/>
      <c r="B4" s="11"/>
      <c r="C4" s="11"/>
      <c r="D4" s="12"/>
      <c r="E4" s="13"/>
      <c r="F4" s="14"/>
      <c r="G4" s="15"/>
      <c r="H4" s="16"/>
      <c r="I4" s="16"/>
    </row>
    <row r="5" spans="1:11" x14ac:dyDescent="0.25">
      <c r="A5" s="10"/>
      <c r="B5" s="11"/>
      <c r="C5" s="11"/>
      <c r="D5" s="17" t="s">
        <v>2</v>
      </c>
      <c r="E5" s="18" t="s">
        <v>3</v>
      </c>
      <c r="F5" s="19"/>
      <c r="G5" s="20"/>
      <c r="H5" s="21" t="s">
        <v>4</v>
      </c>
      <c r="I5" s="21" t="s">
        <v>5</v>
      </c>
    </row>
    <row r="6" spans="1:11" x14ac:dyDescent="0.25">
      <c r="A6" s="10"/>
      <c r="B6" s="11"/>
      <c r="C6" s="11"/>
      <c r="D6" s="17" t="s">
        <v>6</v>
      </c>
      <c r="E6" s="22">
        <v>2024</v>
      </c>
      <c r="F6" s="23">
        <v>2023</v>
      </c>
      <c r="G6" s="24">
        <v>2022</v>
      </c>
      <c r="H6" s="21"/>
      <c r="I6" s="21"/>
    </row>
    <row r="7" spans="1:11" x14ac:dyDescent="0.25">
      <c r="A7" s="10"/>
      <c r="B7" s="25" t="s">
        <v>7</v>
      </c>
      <c r="C7" s="26"/>
      <c r="D7" s="27"/>
      <c r="E7" s="28"/>
      <c r="F7" s="29"/>
      <c r="G7" s="30"/>
      <c r="H7" s="31"/>
      <c r="I7" s="31"/>
    </row>
    <row r="8" spans="1:11" x14ac:dyDescent="0.25">
      <c r="A8" s="10"/>
      <c r="B8" s="11"/>
      <c r="C8" s="32" t="s">
        <v>8</v>
      </c>
      <c r="D8" s="33"/>
      <c r="E8" s="34">
        <f>SUM(E9:E11)</f>
        <v>34259</v>
      </c>
      <c r="F8" s="35">
        <f>SUM(F9:F11)</f>
        <v>34960</v>
      </c>
      <c r="G8" s="36">
        <f>SUM(G9:G11)</f>
        <v>34328</v>
      </c>
      <c r="H8" s="37"/>
      <c r="I8" s="37"/>
      <c r="J8" s="38"/>
      <c r="K8" s="38"/>
    </row>
    <row r="9" spans="1:11" s="44" customFormat="1" x14ac:dyDescent="0.25">
      <c r="A9" s="39"/>
      <c r="B9" s="32"/>
      <c r="C9" s="11"/>
      <c r="D9" s="33" t="s">
        <v>9</v>
      </c>
      <c r="E9" s="40">
        <v>23622</v>
      </c>
      <c r="F9" s="41">
        <v>24293</v>
      </c>
      <c r="G9" s="42">
        <v>24933</v>
      </c>
      <c r="H9" s="43" t="s">
        <v>10</v>
      </c>
      <c r="I9" s="43" t="s">
        <v>11</v>
      </c>
      <c r="J9" s="38"/>
      <c r="K9" s="38"/>
    </row>
    <row r="10" spans="1:11" s="44" customFormat="1" x14ac:dyDescent="0.25">
      <c r="A10" s="39"/>
      <c r="B10" s="32"/>
      <c r="C10" s="11"/>
      <c r="D10" s="33" t="s">
        <v>12</v>
      </c>
      <c r="E10" s="40">
        <v>10637</v>
      </c>
      <c r="F10" s="41">
        <v>10667</v>
      </c>
      <c r="G10" s="42">
        <v>9395</v>
      </c>
      <c r="H10" s="43" t="s">
        <v>10</v>
      </c>
      <c r="I10" s="43" t="s">
        <v>11</v>
      </c>
      <c r="J10" s="38"/>
      <c r="K10" s="38"/>
    </row>
    <row r="11" spans="1:11" x14ac:dyDescent="0.25">
      <c r="A11" s="10"/>
      <c r="B11" s="11"/>
      <c r="C11" s="11"/>
      <c r="D11" s="33" t="s">
        <v>13</v>
      </c>
      <c r="E11" s="40">
        <v>0</v>
      </c>
      <c r="F11" s="41">
        <v>0</v>
      </c>
      <c r="G11" s="42">
        <v>0</v>
      </c>
      <c r="H11" s="43" t="s">
        <v>10</v>
      </c>
      <c r="I11" s="43" t="s">
        <v>11</v>
      </c>
    </row>
    <row r="12" spans="1:11" x14ac:dyDescent="0.25">
      <c r="A12" s="10"/>
      <c r="B12" s="11"/>
      <c r="C12" s="11"/>
      <c r="D12" s="33"/>
      <c r="E12" s="40"/>
      <c r="F12" s="41"/>
      <c r="G12" s="42"/>
      <c r="H12" s="37"/>
      <c r="I12" s="37"/>
    </row>
    <row r="13" spans="1:11" x14ac:dyDescent="0.25">
      <c r="A13" s="10"/>
      <c r="B13" s="11"/>
      <c r="C13" s="32" t="s">
        <v>14</v>
      </c>
      <c r="D13" s="33"/>
      <c r="E13" s="45">
        <f>SUM(E14:E15)</f>
        <v>7150</v>
      </c>
      <c r="F13" s="46">
        <f>SUM(F14:F15)</f>
        <v>6874</v>
      </c>
      <c r="G13" s="36">
        <f>SUM(G14:G15)</f>
        <v>6278</v>
      </c>
      <c r="H13" s="37"/>
      <c r="I13" s="37"/>
    </row>
    <row r="14" spans="1:11" s="44" customFormat="1" x14ac:dyDescent="0.25">
      <c r="A14" s="39"/>
      <c r="B14" s="32"/>
      <c r="C14" s="11"/>
      <c r="D14" s="33" t="s">
        <v>9</v>
      </c>
      <c r="E14" s="40">
        <v>969</v>
      </c>
      <c r="F14" s="41">
        <v>1039</v>
      </c>
      <c r="G14" s="42">
        <v>1098</v>
      </c>
      <c r="H14" s="43" t="s">
        <v>10</v>
      </c>
      <c r="I14" s="43" t="s">
        <v>11</v>
      </c>
    </row>
    <row r="15" spans="1:11" s="44" customFormat="1" x14ac:dyDescent="0.25">
      <c r="A15" s="39"/>
      <c r="B15" s="32"/>
      <c r="C15" s="11"/>
      <c r="D15" s="33" t="s">
        <v>13</v>
      </c>
      <c r="E15" s="40">
        <v>6181</v>
      </c>
      <c r="F15" s="41">
        <v>5835</v>
      </c>
      <c r="G15" s="42">
        <v>5180</v>
      </c>
      <c r="H15" s="43" t="s">
        <v>10</v>
      </c>
      <c r="I15" s="43" t="s">
        <v>11</v>
      </c>
    </row>
    <row r="16" spans="1:11" x14ac:dyDescent="0.25">
      <c r="A16" s="10"/>
      <c r="B16" s="11"/>
      <c r="C16" s="11"/>
      <c r="D16" s="47"/>
      <c r="E16" s="40"/>
      <c r="F16" s="41"/>
      <c r="G16" s="42"/>
      <c r="H16" s="37"/>
      <c r="I16" s="37"/>
    </row>
    <row r="17" spans="1:9" x14ac:dyDescent="0.25">
      <c r="A17" s="10"/>
      <c r="B17" s="11"/>
      <c r="C17" s="32" t="s">
        <v>15</v>
      </c>
      <c r="D17" s="33"/>
      <c r="E17" s="45">
        <f>SUM(E18:E19)</f>
        <v>2442</v>
      </c>
      <c r="F17" s="46">
        <f>SUM(F18:F19)</f>
        <v>2374</v>
      </c>
      <c r="G17" s="36">
        <f>SUM(G18:G19)</f>
        <v>2805</v>
      </c>
      <c r="H17" s="37"/>
      <c r="I17" s="37"/>
    </row>
    <row r="18" spans="1:9" x14ac:dyDescent="0.25">
      <c r="A18" s="10"/>
      <c r="B18" s="11"/>
      <c r="C18" s="11"/>
      <c r="D18" s="33" t="s">
        <v>9</v>
      </c>
      <c r="E18" s="40">
        <v>37</v>
      </c>
      <c r="F18" s="41">
        <v>40</v>
      </c>
      <c r="G18" s="42">
        <v>44</v>
      </c>
      <c r="H18" s="43" t="s">
        <v>10</v>
      </c>
      <c r="I18" s="43" t="s">
        <v>11</v>
      </c>
    </row>
    <row r="19" spans="1:9" x14ac:dyDescent="0.25">
      <c r="A19" s="10"/>
      <c r="B19" s="11"/>
      <c r="C19" s="11"/>
      <c r="D19" s="33" t="s">
        <v>13</v>
      </c>
      <c r="E19" s="40">
        <v>2405</v>
      </c>
      <c r="F19" s="41">
        <v>2334</v>
      </c>
      <c r="G19" s="42">
        <v>2761</v>
      </c>
      <c r="H19" s="43" t="s">
        <v>10</v>
      </c>
      <c r="I19" s="43" t="s">
        <v>11</v>
      </c>
    </row>
    <row r="20" spans="1:9" x14ac:dyDescent="0.25">
      <c r="A20" s="10"/>
      <c r="B20" s="11"/>
      <c r="C20" s="11"/>
      <c r="D20" s="33"/>
      <c r="E20" s="40"/>
      <c r="F20" s="41"/>
      <c r="G20" s="42"/>
      <c r="H20" s="37"/>
      <c r="I20" s="37"/>
    </row>
    <row r="21" spans="1:9" x14ac:dyDescent="0.25">
      <c r="A21" s="10"/>
      <c r="B21" s="11"/>
      <c r="C21" s="32" t="s">
        <v>16</v>
      </c>
      <c r="D21" s="33"/>
      <c r="E21" s="45">
        <f>+SUM(E22:E24)</f>
        <v>43851</v>
      </c>
      <c r="F21" s="46">
        <f>+SUM(F22:F24)</f>
        <v>44208</v>
      </c>
      <c r="G21" s="36">
        <f>+SUM(G22:G24)</f>
        <v>43411</v>
      </c>
      <c r="H21" s="37"/>
      <c r="I21" s="37"/>
    </row>
    <row r="22" spans="1:9" x14ac:dyDescent="0.25">
      <c r="A22" s="10"/>
      <c r="B22" s="11"/>
      <c r="C22" s="11"/>
      <c r="D22" s="33" t="s">
        <v>9</v>
      </c>
      <c r="E22" s="40">
        <f>SUM(E9,E14,E18)</f>
        <v>24628</v>
      </c>
      <c r="F22" s="41">
        <f>SUM(F9,F14,F18)</f>
        <v>25372</v>
      </c>
      <c r="G22" s="42">
        <f>SUM(G9,G14,G18)</f>
        <v>26075</v>
      </c>
      <c r="H22" s="48" t="s">
        <v>17</v>
      </c>
      <c r="I22" s="48" t="s">
        <v>17</v>
      </c>
    </row>
    <row r="23" spans="1:9" x14ac:dyDescent="0.25">
      <c r="A23" s="10"/>
      <c r="B23" s="11"/>
      <c r="C23" s="11"/>
      <c r="D23" s="33" t="s">
        <v>12</v>
      </c>
      <c r="E23" s="40">
        <f>E10</f>
        <v>10637</v>
      </c>
      <c r="F23" s="41">
        <f>F10</f>
        <v>10667</v>
      </c>
      <c r="G23" s="42">
        <f>G10</f>
        <v>9395</v>
      </c>
      <c r="H23" s="48" t="s">
        <v>17</v>
      </c>
      <c r="I23" s="48" t="s">
        <v>17</v>
      </c>
    </row>
    <row r="24" spans="1:9" x14ac:dyDescent="0.25">
      <c r="A24" s="10"/>
      <c r="B24" s="11"/>
      <c r="C24" s="11"/>
      <c r="D24" s="33" t="s">
        <v>13</v>
      </c>
      <c r="E24" s="40">
        <f>SUM(E11,E15,E19)</f>
        <v>8586</v>
      </c>
      <c r="F24" s="41">
        <f>SUM(F11,F15,F19)</f>
        <v>8169</v>
      </c>
      <c r="G24" s="42">
        <f>SUM(G11,G15,G19)</f>
        <v>7941</v>
      </c>
      <c r="H24" s="48" t="s">
        <v>17</v>
      </c>
      <c r="I24" s="48" t="s">
        <v>17</v>
      </c>
    </row>
    <row r="25" spans="1:9" x14ac:dyDescent="0.25">
      <c r="A25" s="10"/>
      <c r="B25" s="11"/>
      <c r="C25" s="11"/>
      <c r="D25" s="33"/>
      <c r="E25" s="45"/>
      <c r="F25" s="46"/>
      <c r="G25" s="36"/>
      <c r="H25" s="37"/>
      <c r="I25" s="37"/>
    </row>
    <row r="26" spans="1:9" x14ac:dyDescent="0.25">
      <c r="A26" s="10"/>
      <c r="B26" s="11"/>
      <c r="C26" s="32" t="s">
        <v>18</v>
      </c>
      <c r="D26" s="33"/>
      <c r="E26" s="45"/>
      <c r="F26" s="46"/>
      <c r="G26" s="36"/>
      <c r="H26" s="37"/>
      <c r="I26" s="37"/>
    </row>
    <row r="27" spans="1:9" x14ac:dyDescent="0.25">
      <c r="A27" s="10"/>
      <c r="B27" s="11"/>
      <c r="C27" s="11"/>
      <c r="D27" s="49" t="s">
        <v>19</v>
      </c>
      <c r="E27" s="45">
        <f>+SUM(E28:E30)</f>
        <v>33323</v>
      </c>
      <c r="F27" s="46">
        <f>+SUM(F28:F30)</f>
        <v>34350</v>
      </c>
      <c r="G27" s="50">
        <f>+SUM(G28:G30)</f>
        <v>33899</v>
      </c>
      <c r="H27" s="51"/>
      <c r="I27" s="52"/>
    </row>
    <row r="28" spans="1:9" x14ac:dyDescent="0.25">
      <c r="A28" s="10"/>
      <c r="B28" s="11"/>
      <c r="C28" s="11"/>
      <c r="D28" s="53" t="s">
        <v>20</v>
      </c>
      <c r="E28" s="54">
        <f>+E44+E52</f>
        <v>31395</v>
      </c>
      <c r="F28" s="55">
        <f t="shared" ref="F28:G30" si="0">F44+F52</f>
        <v>32312</v>
      </c>
      <c r="G28" s="56">
        <f t="shared" si="0"/>
        <v>31864</v>
      </c>
      <c r="H28" s="57" t="s">
        <v>21</v>
      </c>
      <c r="I28" s="57" t="s">
        <v>21</v>
      </c>
    </row>
    <row r="29" spans="1:9" x14ac:dyDescent="0.25">
      <c r="A29" s="10"/>
      <c r="B29" s="11"/>
      <c r="C29" s="11"/>
      <c r="D29" s="53" t="s">
        <v>22</v>
      </c>
      <c r="E29" s="58">
        <f>+E45+E53</f>
        <v>778</v>
      </c>
      <c r="F29" s="55">
        <f t="shared" si="0"/>
        <v>795</v>
      </c>
      <c r="G29" s="56">
        <f t="shared" si="0"/>
        <v>789</v>
      </c>
      <c r="H29" s="57" t="s">
        <v>21</v>
      </c>
      <c r="I29" s="57" t="s">
        <v>21</v>
      </c>
    </row>
    <row r="30" spans="1:9" x14ac:dyDescent="0.25">
      <c r="A30" s="10"/>
      <c r="B30" s="11"/>
      <c r="C30" s="11"/>
      <c r="D30" s="53" t="s">
        <v>23</v>
      </c>
      <c r="E30" s="58">
        <f>+E46+E54</f>
        <v>1150</v>
      </c>
      <c r="F30" s="55">
        <f t="shared" si="0"/>
        <v>1243</v>
      </c>
      <c r="G30" s="56">
        <f t="shared" si="0"/>
        <v>1246</v>
      </c>
      <c r="H30" s="57" t="s">
        <v>21</v>
      </c>
      <c r="I30" s="57" t="s">
        <v>21</v>
      </c>
    </row>
    <row r="31" spans="1:9" x14ac:dyDescent="0.25">
      <c r="A31" s="10"/>
      <c r="B31" s="11"/>
      <c r="C31" s="11"/>
      <c r="D31" s="49" t="s">
        <v>24</v>
      </c>
      <c r="E31" s="45">
        <f>+E59</f>
        <v>-246</v>
      </c>
      <c r="F31" s="59">
        <f>+F59</f>
        <v>-303</v>
      </c>
      <c r="G31" s="60">
        <f>+G59</f>
        <v>-531</v>
      </c>
      <c r="H31" s="57" t="s">
        <v>21</v>
      </c>
      <c r="I31" s="57" t="s">
        <v>21</v>
      </c>
    </row>
    <row r="32" spans="1:9" x14ac:dyDescent="0.25">
      <c r="A32" s="10"/>
      <c r="B32" s="11"/>
      <c r="C32" s="11"/>
      <c r="D32" s="49" t="s">
        <v>25</v>
      </c>
      <c r="E32" s="45">
        <f>+SUM(E33:E34)</f>
        <v>1942</v>
      </c>
      <c r="F32" s="46">
        <f>+SUM(F33:F34)</f>
        <v>1689</v>
      </c>
      <c r="G32" s="50">
        <f>+SUM(G33:G34)</f>
        <v>1571</v>
      </c>
      <c r="H32" s="37"/>
      <c r="I32" s="37"/>
    </row>
    <row r="33" spans="1:9" x14ac:dyDescent="0.25">
      <c r="A33" s="10"/>
      <c r="B33" s="11"/>
      <c r="C33" s="11"/>
      <c r="D33" s="53" t="s">
        <v>20</v>
      </c>
      <c r="E33" s="58">
        <f t="shared" ref="E33:G34" si="1">+E48+E56</f>
        <v>1942</v>
      </c>
      <c r="F33" s="61">
        <f t="shared" si="1"/>
        <v>1689</v>
      </c>
      <c r="G33" s="62">
        <f t="shared" si="1"/>
        <v>1571</v>
      </c>
      <c r="H33" s="57" t="s">
        <v>21</v>
      </c>
      <c r="I33" s="57" t="s">
        <v>21</v>
      </c>
    </row>
    <row r="34" spans="1:9" x14ac:dyDescent="0.25">
      <c r="A34" s="10"/>
      <c r="B34" s="11"/>
      <c r="C34" s="11"/>
      <c r="D34" s="53" t="s">
        <v>22</v>
      </c>
      <c r="E34" s="58">
        <f t="shared" si="1"/>
        <v>0</v>
      </c>
      <c r="F34" s="61">
        <f t="shared" si="1"/>
        <v>0</v>
      </c>
      <c r="G34" s="62">
        <f t="shared" si="1"/>
        <v>0</v>
      </c>
      <c r="H34" s="37"/>
      <c r="I34" s="37"/>
    </row>
    <row r="35" spans="1:9" x14ac:dyDescent="0.25">
      <c r="A35" s="10"/>
      <c r="B35" s="11"/>
      <c r="C35" s="11"/>
      <c r="D35" s="49" t="s">
        <v>26</v>
      </c>
      <c r="E35" s="45">
        <f>+SUM(E36:E37)</f>
        <v>8832</v>
      </c>
      <c r="F35" s="46">
        <f>+SUM(F36:F37)</f>
        <v>8472</v>
      </c>
      <c r="G35" s="50">
        <f>+SUM(G36:G37)</f>
        <v>8472</v>
      </c>
      <c r="H35" s="37"/>
      <c r="I35" s="37"/>
    </row>
    <row r="36" spans="1:9" x14ac:dyDescent="0.25">
      <c r="A36" s="10"/>
      <c r="B36" s="11"/>
      <c r="C36" s="11"/>
      <c r="D36" s="53" t="s">
        <v>20</v>
      </c>
      <c r="E36" s="58">
        <f t="shared" ref="E36:G37" si="2">+E61</f>
        <v>8680</v>
      </c>
      <c r="F36" s="61">
        <f t="shared" si="2"/>
        <v>8322</v>
      </c>
      <c r="G36" s="62">
        <f t="shared" si="2"/>
        <v>8336</v>
      </c>
      <c r="H36" s="57" t="s">
        <v>21</v>
      </c>
      <c r="I36" s="57" t="s">
        <v>21</v>
      </c>
    </row>
    <row r="37" spans="1:9" x14ac:dyDescent="0.25">
      <c r="A37" s="10"/>
      <c r="B37" s="11"/>
      <c r="C37" s="11"/>
      <c r="D37" s="53" t="s">
        <v>22</v>
      </c>
      <c r="E37" s="58">
        <f t="shared" si="2"/>
        <v>152</v>
      </c>
      <c r="F37" s="61">
        <f t="shared" si="2"/>
        <v>150</v>
      </c>
      <c r="G37" s="62">
        <f t="shared" si="2"/>
        <v>136</v>
      </c>
      <c r="H37" s="57" t="s">
        <v>21</v>
      </c>
      <c r="I37" s="57" t="s">
        <v>21</v>
      </c>
    </row>
    <row r="38" spans="1:9" x14ac:dyDescent="0.25">
      <c r="A38" s="10"/>
      <c r="B38" s="11"/>
      <c r="C38" s="11"/>
      <c r="D38" s="49" t="s">
        <v>27</v>
      </c>
      <c r="E38" s="63">
        <v>0</v>
      </c>
      <c r="F38" s="64">
        <v>11</v>
      </c>
      <c r="G38" s="65">
        <v>4</v>
      </c>
      <c r="H38" s="66" t="s">
        <v>28</v>
      </c>
      <c r="I38" s="66" t="s">
        <v>29</v>
      </c>
    </row>
    <row r="39" spans="1:9" x14ac:dyDescent="0.25">
      <c r="A39" s="10"/>
      <c r="B39" s="11"/>
      <c r="C39" s="11"/>
      <c r="D39" s="49" t="s">
        <v>30</v>
      </c>
      <c r="E39" s="45">
        <v>0</v>
      </c>
      <c r="F39" s="46">
        <v>0</v>
      </c>
      <c r="G39" s="50">
        <v>0</v>
      </c>
      <c r="H39" s="37"/>
      <c r="I39" s="37"/>
    </row>
    <row r="40" spans="1:9" ht="15.75" thickBot="1" x14ac:dyDescent="0.3">
      <c r="A40" s="10"/>
      <c r="B40" s="11"/>
      <c r="C40" s="11"/>
      <c r="D40" s="33"/>
      <c r="E40" s="67">
        <f>E27+E31+E32+E38+E39+E35</f>
        <v>43851</v>
      </c>
      <c r="F40" s="68">
        <f>F27+F31+F32+F38+F39+F35</f>
        <v>44219</v>
      </c>
      <c r="G40" s="69">
        <f>G27+G31+G32+G38+G39+G35</f>
        <v>43415</v>
      </c>
      <c r="H40" s="37"/>
      <c r="I40" s="37"/>
    </row>
    <row r="41" spans="1:9" ht="15.75" thickTop="1" x14ac:dyDescent="0.25">
      <c r="A41" s="10"/>
      <c r="B41" s="11"/>
      <c r="D41" s="70" t="s">
        <v>31</v>
      </c>
      <c r="E41" s="71" t="b">
        <f>E21=(E40-E38)</f>
        <v>1</v>
      </c>
      <c r="F41" s="72" t="b">
        <f>F21=(F40-F38)</f>
        <v>1</v>
      </c>
      <c r="G41" s="73" t="b">
        <f>G21=(G40-G38)</f>
        <v>1</v>
      </c>
      <c r="H41" s="74" t="s">
        <v>32</v>
      </c>
      <c r="I41" s="74" t="s">
        <v>33</v>
      </c>
    </row>
    <row r="42" spans="1:9" x14ac:dyDescent="0.25">
      <c r="A42" s="10"/>
      <c r="B42" s="11"/>
      <c r="C42" s="11"/>
      <c r="D42" s="49" t="s">
        <v>34</v>
      </c>
      <c r="E42" s="75"/>
      <c r="F42" s="76"/>
      <c r="G42" s="77"/>
      <c r="H42" s="74"/>
      <c r="I42" s="74"/>
    </row>
    <row r="43" spans="1:9" x14ac:dyDescent="0.25">
      <c r="A43" s="10"/>
      <c r="B43" s="11"/>
      <c r="C43" s="11"/>
      <c r="D43" s="33" t="s">
        <v>35</v>
      </c>
      <c r="E43" s="78">
        <f>+SUM(E44:E46)</f>
        <v>33567</v>
      </c>
      <c r="F43" s="79">
        <f>+SUM(F44:F46)</f>
        <v>34466</v>
      </c>
      <c r="G43" s="80">
        <f>+SUM(G44:G46)</f>
        <v>33993</v>
      </c>
      <c r="H43" s="74"/>
      <c r="I43" s="74"/>
    </row>
    <row r="44" spans="1:9" x14ac:dyDescent="0.25">
      <c r="A44" s="10"/>
      <c r="B44" s="11"/>
      <c r="C44" s="11"/>
      <c r="D44" s="53" t="s">
        <v>20</v>
      </c>
      <c r="E44" s="81">
        <f>32530-692</f>
        <v>31838</v>
      </c>
      <c r="F44" s="82">
        <f>(33164-494)</f>
        <v>32670</v>
      </c>
      <c r="G44" s="83">
        <f>(32512-335)</f>
        <v>32177</v>
      </c>
      <c r="H44" s="43" t="s">
        <v>36</v>
      </c>
      <c r="I44" s="43" t="s">
        <v>37</v>
      </c>
    </row>
    <row r="45" spans="1:9" x14ac:dyDescent="0.25">
      <c r="A45" s="10"/>
      <c r="B45" s="11"/>
      <c r="C45" s="11"/>
      <c r="D45" s="53" t="s">
        <v>22</v>
      </c>
      <c r="E45" s="81">
        <f>697</f>
        <v>697</v>
      </c>
      <c r="F45" s="82">
        <f>720</f>
        <v>720</v>
      </c>
      <c r="G45" s="83">
        <f>716</f>
        <v>716</v>
      </c>
      <c r="H45" s="43" t="s">
        <v>38</v>
      </c>
      <c r="I45" s="43" t="s">
        <v>39</v>
      </c>
    </row>
    <row r="46" spans="1:9" x14ac:dyDescent="0.25">
      <c r="A46" s="10"/>
      <c r="B46" s="11"/>
      <c r="C46" s="11"/>
      <c r="D46" s="53" t="s">
        <v>23</v>
      </c>
      <c r="E46" s="81">
        <v>1032</v>
      </c>
      <c r="F46" s="82">
        <f>1076</f>
        <v>1076</v>
      </c>
      <c r="G46" s="83">
        <f>1100</f>
        <v>1100</v>
      </c>
      <c r="H46" s="43" t="s">
        <v>38</v>
      </c>
      <c r="I46" s="43" t="s">
        <v>40</v>
      </c>
    </row>
    <row r="47" spans="1:9" x14ac:dyDescent="0.25">
      <c r="A47" s="10"/>
      <c r="B47" s="11"/>
      <c r="C47" s="11"/>
      <c r="D47" s="33" t="s">
        <v>41</v>
      </c>
      <c r="E47" s="78">
        <f>+SUM(E48:E49)</f>
        <v>692</v>
      </c>
      <c r="F47" s="79">
        <f>+SUM(F48:F49)</f>
        <v>494</v>
      </c>
      <c r="G47" s="80">
        <f>+SUM(G48:G49)</f>
        <v>335</v>
      </c>
      <c r="H47" s="74"/>
      <c r="I47" s="74"/>
    </row>
    <row r="48" spans="1:9" x14ac:dyDescent="0.25">
      <c r="A48" s="10"/>
      <c r="B48" s="11"/>
      <c r="C48" s="11"/>
      <c r="D48" s="53" t="s">
        <v>20</v>
      </c>
      <c r="E48" s="81">
        <v>692</v>
      </c>
      <c r="F48" s="82">
        <v>494</v>
      </c>
      <c r="G48" s="83">
        <v>335</v>
      </c>
      <c r="H48" s="43" t="s">
        <v>42</v>
      </c>
      <c r="I48" s="43"/>
    </row>
    <row r="49" spans="1:9" x14ac:dyDescent="0.25">
      <c r="A49" s="10"/>
      <c r="B49" s="11"/>
      <c r="C49" s="11"/>
      <c r="D49" s="53" t="s">
        <v>22</v>
      </c>
      <c r="E49" s="81">
        <v>0</v>
      </c>
      <c r="F49" s="82">
        <v>0</v>
      </c>
      <c r="G49" s="83">
        <v>0</v>
      </c>
      <c r="H49" s="74"/>
      <c r="I49" s="74"/>
    </row>
    <row r="50" spans="1:9" x14ac:dyDescent="0.25">
      <c r="A50" s="10"/>
      <c r="B50" s="11"/>
      <c r="C50" s="11"/>
      <c r="D50" s="49" t="s">
        <v>43</v>
      </c>
      <c r="E50" s="84"/>
      <c r="F50" s="85"/>
      <c r="G50" s="86"/>
      <c r="H50" s="74"/>
      <c r="I50" s="74"/>
    </row>
    <row r="51" spans="1:9" x14ac:dyDescent="0.25">
      <c r="A51" s="10"/>
      <c r="B51" s="11"/>
      <c r="C51" s="87"/>
      <c r="D51" s="33" t="s">
        <v>35</v>
      </c>
      <c r="E51" s="78">
        <f>+SUM(E52:E54)</f>
        <v>-244</v>
      </c>
      <c r="F51" s="79">
        <f>+SUM(F52:F54)</f>
        <v>-116</v>
      </c>
      <c r="G51" s="80">
        <f>+SUM(G52:G54)</f>
        <v>-94</v>
      </c>
      <c r="H51" s="74"/>
      <c r="I51" s="74"/>
    </row>
    <row r="52" spans="1:9" x14ac:dyDescent="0.25">
      <c r="A52" s="10"/>
      <c r="B52" s="11"/>
      <c r="C52" s="87"/>
      <c r="D52" s="53" t="s">
        <v>20</v>
      </c>
      <c r="E52" s="81">
        <f>+(780-1246)+(37-4-10)</f>
        <v>-443</v>
      </c>
      <c r="F52" s="82">
        <f>(811-1192)+(40-3-14)</f>
        <v>-358</v>
      </c>
      <c r="G52" s="83">
        <f>(894-1234)+(44-2-15)</f>
        <v>-313</v>
      </c>
      <c r="H52" s="43" t="s">
        <v>44</v>
      </c>
      <c r="I52" s="43" t="s">
        <v>45</v>
      </c>
    </row>
    <row r="53" spans="1:9" x14ac:dyDescent="0.25">
      <c r="A53" s="10"/>
      <c r="B53" s="11"/>
      <c r="C53" s="87"/>
      <c r="D53" s="53" t="s">
        <v>22</v>
      </c>
      <c r="E53" s="81">
        <v>81</v>
      </c>
      <c r="F53" s="82">
        <f>75</f>
        <v>75</v>
      </c>
      <c r="G53" s="83">
        <f>73</f>
        <v>73</v>
      </c>
      <c r="H53" s="43" t="s">
        <v>46</v>
      </c>
      <c r="I53" s="43" t="s">
        <v>47</v>
      </c>
    </row>
    <row r="54" spans="1:9" x14ac:dyDescent="0.25">
      <c r="A54" s="10"/>
      <c r="B54" s="11"/>
      <c r="C54" s="87"/>
      <c r="D54" s="53" t="s">
        <v>23</v>
      </c>
      <c r="E54" s="81">
        <f>108+10</f>
        <v>118</v>
      </c>
      <c r="F54" s="82">
        <f>153+14</f>
        <v>167</v>
      </c>
      <c r="G54" s="83">
        <f>131+15</f>
        <v>146</v>
      </c>
      <c r="H54" s="88" t="s">
        <v>48</v>
      </c>
      <c r="I54" s="88" t="s">
        <v>49</v>
      </c>
    </row>
    <row r="55" spans="1:9" x14ac:dyDescent="0.25">
      <c r="A55" s="10"/>
      <c r="B55" s="11"/>
      <c r="C55" s="87"/>
      <c r="D55" s="33" t="s">
        <v>41</v>
      </c>
      <c r="E55" s="78">
        <f>+SUM(E56:E57)</f>
        <v>1250</v>
      </c>
      <c r="F55" s="79">
        <f>+SUM(F56:F57)</f>
        <v>1195</v>
      </c>
      <c r="G55" s="80">
        <f>+SUM(G56:G57)</f>
        <v>1236</v>
      </c>
      <c r="H55" s="74"/>
      <c r="I55" s="74"/>
    </row>
    <row r="56" spans="1:9" x14ac:dyDescent="0.25">
      <c r="A56" s="10"/>
      <c r="B56" s="11"/>
      <c r="C56" s="87"/>
      <c r="D56" s="53" t="s">
        <v>20</v>
      </c>
      <c r="E56" s="81">
        <f>1246+4</f>
        <v>1250</v>
      </c>
      <c r="F56" s="82">
        <f>1192+3</f>
        <v>1195</v>
      </c>
      <c r="G56" s="83">
        <f>1234+2</f>
        <v>1236</v>
      </c>
      <c r="H56" s="43" t="s">
        <v>50</v>
      </c>
      <c r="I56" s="88" t="s">
        <v>51</v>
      </c>
    </row>
    <row r="57" spans="1:9" x14ac:dyDescent="0.25">
      <c r="A57" s="10"/>
      <c r="B57" s="11"/>
      <c r="C57" s="87"/>
      <c r="D57" s="53" t="s">
        <v>22</v>
      </c>
      <c r="E57" s="81">
        <v>0</v>
      </c>
      <c r="F57" s="82">
        <v>0</v>
      </c>
      <c r="G57" s="83">
        <v>0</v>
      </c>
      <c r="H57" s="74"/>
      <c r="I57" s="74"/>
    </row>
    <row r="58" spans="1:9" x14ac:dyDescent="0.25">
      <c r="A58" s="10"/>
      <c r="B58" s="11"/>
      <c r="C58" s="11"/>
      <c r="D58" s="49" t="s">
        <v>52</v>
      </c>
      <c r="E58" s="84"/>
      <c r="F58" s="85"/>
      <c r="G58" s="86"/>
      <c r="H58" s="74"/>
      <c r="I58" s="74"/>
    </row>
    <row r="59" spans="1:9" x14ac:dyDescent="0.25">
      <c r="A59" s="10"/>
      <c r="B59" s="11"/>
      <c r="C59" s="11"/>
      <c r="D59" s="33" t="s">
        <v>35</v>
      </c>
      <c r="E59" s="89">
        <f>+(175+79+1246-780-81-108)+(-886+142-37+4)</f>
        <v>-246</v>
      </c>
      <c r="F59" s="90">
        <f>(247+36-811-75-153+1192)+(-723+21-40+3)</f>
        <v>-303</v>
      </c>
      <c r="G59" s="91">
        <f xml:space="preserve"> (90 + 45 + 1234 - 894 - 73 - 131) + (-765 + 5 + 2 - 44)</f>
        <v>-531</v>
      </c>
      <c r="H59" s="43" t="s">
        <v>53</v>
      </c>
      <c r="I59" s="43" t="s">
        <v>54</v>
      </c>
    </row>
    <row r="60" spans="1:9" x14ac:dyDescent="0.25">
      <c r="A60" s="10"/>
      <c r="B60" s="11"/>
      <c r="C60" s="11"/>
      <c r="D60" s="33" t="s">
        <v>41</v>
      </c>
      <c r="E60" s="92">
        <f>+SUM(E61:E62)</f>
        <v>8832</v>
      </c>
      <c r="F60" s="93">
        <f>+SUM(F61:F62)</f>
        <v>8472</v>
      </c>
      <c r="G60" s="94">
        <f>+SUM(G61:G62)</f>
        <v>8472</v>
      </c>
      <c r="H60" s="74"/>
      <c r="I60" s="74"/>
    </row>
    <row r="61" spans="1:9" x14ac:dyDescent="0.25">
      <c r="A61" s="10"/>
      <c r="B61" s="11"/>
      <c r="C61" s="11"/>
      <c r="D61" s="53" t="s">
        <v>20</v>
      </c>
      <c r="E61" s="81">
        <f>5528+3152</f>
        <v>8680</v>
      </c>
      <c r="F61" s="82">
        <f>5279+3043</f>
        <v>8322</v>
      </c>
      <c r="G61" s="83">
        <f>4804+3532</f>
        <v>8336</v>
      </c>
      <c r="H61" s="43" t="s">
        <v>55</v>
      </c>
      <c r="I61" s="43" t="s">
        <v>56</v>
      </c>
    </row>
    <row r="62" spans="1:9" ht="15.75" thickBot="1" x14ac:dyDescent="0.3">
      <c r="A62" s="10"/>
      <c r="B62" s="11"/>
      <c r="C62" s="11"/>
      <c r="D62" s="53" t="s">
        <v>22</v>
      </c>
      <c r="E62" s="81">
        <f>122+30</f>
        <v>152</v>
      </c>
      <c r="F62" s="82">
        <f>120+30</f>
        <v>150</v>
      </c>
      <c r="G62" s="83">
        <f>105+31</f>
        <v>136</v>
      </c>
      <c r="H62" s="43" t="s">
        <v>57</v>
      </c>
      <c r="I62" s="43" t="s">
        <v>56</v>
      </c>
    </row>
    <row r="63" spans="1:9" ht="16.5" thickTop="1" thickBot="1" x14ac:dyDescent="0.3">
      <c r="A63" s="10"/>
      <c r="B63" s="11"/>
      <c r="C63" s="11"/>
      <c r="D63" s="70" t="s">
        <v>31</v>
      </c>
      <c r="E63" s="71" t="b">
        <f>+SUM(E43,E51)=E27</f>
        <v>1</v>
      </c>
      <c r="F63" s="72" t="b">
        <f>+SUM(F43,F51)=F27</f>
        <v>1</v>
      </c>
      <c r="G63" s="71" t="b">
        <f>+SUM(G43,G51)=G27</f>
        <v>1</v>
      </c>
      <c r="H63" s="74"/>
      <c r="I63" s="74"/>
    </row>
    <row r="64" spans="1:9" ht="15.75" thickTop="1" x14ac:dyDescent="0.25">
      <c r="A64" s="10"/>
      <c r="B64" s="11"/>
      <c r="C64" s="11"/>
      <c r="D64" s="70" t="s">
        <v>31</v>
      </c>
      <c r="E64" s="71" t="b">
        <f>+SUM(E47,E55)=E32</f>
        <v>1</v>
      </c>
      <c r="F64" s="72" t="b">
        <f>+SUM(F47,F55)=F32</f>
        <v>1</v>
      </c>
      <c r="G64" s="71" t="b">
        <f>+SUM(G47,G55)=G32</f>
        <v>1</v>
      </c>
      <c r="H64" s="74"/>
      <c r="I64" s="74"/>
    </row>
    <row r="65" spans="1:9" x14ac:dyDescent="0.25">
      <c r="A65" s="10"/>
      <c r="B65" s="11"/>
      <c r="C65" s="11"/>
      <c r="D65" s="53"/>
      <c r="E65" s="84"/>
      <c r="F65" s="85"/>
      <c r="G65" s="86"/>
      <c r="H65" s="74"/>
      <c r="I65" s="74"/>
    </row>
    <row r="66" spans="1:9" x14ac:dyDescent="0.25">
      <c r="A66" s="10"/>
      <c r="B66" s="11"/>
      <c r="C66" s="32" t="s">
        <v>58</v>
      </c>
      <c r="D66" s="33"/>
      <c r="E66" s="40"/>
      <c r="F66" s="41"/>
      <c r="G66" s="95"/>
      <c r="H66" s="37"/>
      <c r="I66" s="37"/>
    </row>
    <row r="67" spans="1:9" x14ac:dyDescent="0.25">
      <c r="A67" s="10"/>
      <c r="B67" s="11"/>
      <c r="C67" s="11"/>
      <c r="D67" s="33" t="s">
        <v>9</v>
      </c>
      <c r="E67" s="96">
        <v>27</v>
      </c>
      <c r="F67" s="97">
        <v>27</v>
      </c>
      <c r="G67" s="98">
        <v>56</v>
      </c>
      <c r="H67" s="43" t="s">
        <v>59</v>
      </c>
      <c r="I67" s="43" t="s">
        <v>11</v>
      </c>
    </row>
    <row r="68" spans="1:9" x14ac:dyDescent="0.25">
      <c r="A68" s="10"/>
      <c r="B68" s="11"/>
      <c r="C68" s="11"/>
      <c r="D68" s="33" t="s">
        <v>13</v>
      </c>
      <c r="E68" s="96">
        <v>0</v>
      </c>
      <c r="F68" s="97">
        <v>0</v>
      </c>
      <c r="G68" s="98">
        <v>0</v>
      </c>
      <c r="H68" s="43" t="s">
        <v>59</v>
      </c>
      <c r="I68" s="43" t="s">
        <v>11</v>
      </c>
    </row>
    <row r="69" spans="1:9" x14ac:dyDescent="0.25">
      <c r="A69" s="10"/>
      <c r="B69" s="11"/>
      <c r="C69" s="11"/>
      <c r="D69" s="33"/>
      <c r="E69" s="40"/>
      <c r="F69" s="41"/>
      <c r="G69" s="95"/>
      <c r="H69" s="37"/>
      <c r="I69" s="37"/>
    </row>
    <row r="70" spans="1:9" x14ac:dyDescent="0.25">
      <c r="A70" s="10"/>
      <c r="B70" s="11"/>
      <c r="C70" s="32" t="s">
        <v>60</v>
      </c>
      <c r="D70" s="33"/>
      <c r="E70" s="40"/>
      <c r="F70" s="41"/>
      <c r="G70" s="95"/>
      <c r="H70" s="37"/>
      <c r="I70" s="37"/>
    </row>
    <row r="71" spans="1:9" x14ac:dyDescent="0.25">
      <c r="A71" s="10"/>
      <c r="B71" s="11"/>
      <c r="C71" s="11"/>
      <c r="D71" s="33" t="s">
        <v>9</v>
      </c>
      <c r="E71" s="96">
        <v>0</v>
      </c>
      <c r="F71" s="97">
        <v>0</v>
      </c>
      <c r="G71" s="98">
        <v>0</v>
      </c>
      <c r="H71" s="43" t="s">
        <v>59</v>
      </c>
      <c r="I71" s="43" t="s">
        <v>11</v>
      </c>
    </row>
    <row r="72" spans="1:9" x14ac:dyDescent="0.25">
      <c r="A72" s="10"/>
      <c r="B72" s="11"/>
      <c r="C72" s="11"/>
      <c r="D72" s="33" t="s">
        <v>13</v>
      </c>
      <c r="E72" s="96">
        <v>957</v>
      </c>
      <c r="F72" s="97">
        <v>1064</v>
      </c>
      <c r="G72" s="98">
        <v>724</v>
      </c>
      <c r="H72" s="43" t="s">
        <v>59</v>
      </c>
      <c r="I72" s="43" t="s">
        <v>11</v>
      </c>
    </row>
    <row r="73" spans="1:9" x14ac:dyDescent="0.25">
      <c r="A73" s="10"/>
      <c r="B73" s="11"/>
      <c r="C73" s="11"/>
      <c r="D73" s="33"/>
      <c r="E73" s="40"/>
      <c r="F73" s="41"/>
      <c r="G73" s="95"/>
      <c r="H73" s="37"/>
      <c r="I73" s="37"/>
    </row>
    <row r="74" spans="1:9" x14ac:dyDescent="0.25">
      <c r="A74" s="10"/>
      <c r="B74" s="11"/>
      <c r="C74" s="32" t="s">
        <v>61</v>
      </c>
      <c r="D74" s="33"/>
      <c r="E74" s="40"/>
      <c r="F74" s="41"/>
      <c r="G74" s="95"/>
      <c r="H74" s="37"/>
      <c r="I74" s="37"/>
    </row>
    <row r="75" spans="1:9" x14ac:dyDescent="0.25">
      <c r="A75" s="10"/>
      <c r="B75" s="11"/>
      <c r="C75" s="11"/>
      <c r="D75" s="33" t="s">
        <v>9</v>
      </c>
      <c r="E75" s="96">
        <v>0</v>
      </c>
      <c r="F75" s="97">
        <v>0</v>
      </c>
      <c r="G75" s="98">
        <v>0</v>
      </c>
      <c r="H75" s="43" t="s">
        <v>59</v>
      </c>
      <c r="I75" s="43" t="s">
        <v>11</v>
      </c>
    </row>
    <row r="76" spans="1:9" x14ac:dyDescent="0.25">
      <c r="A76" s="10"/>
      <c r="B76" s="11"/>
      <c r="C76" s="11"/>
      <c r="D76" s="33" t="s">
        <v>13</v>
      </c>
      <c r="E76" s="96">
        <v>3</v>
      </c>
      <c r="F76" s="97">
        <v>2</v>
      </c>
      <c r="G76" s="98">
        <v>0</v>
      </c>
      <c r="H76" s="43" t="s">
        <v>59</v>
      </c>
      <c r="I76" s="43" t="s">
        <v>11</v>
      </c>
    </row>
    <row r="77" spans="1:9" x14ac:dyDescent="0.25">
      <c r="A77" s="10"/>
      <c r="B77" s="11"/>
      <c r="C77" s="11"/>
      <c r="D77" s="33"/>
      <c r="E77" s="40"/>
      <c r="F77" s="41"/>
      <c r="G77" s="95"/>
      <c r="H77" s="37"/>
      <c r="I77" s="37"/>
    </row>
    <row r="78" spans="1:9" x14ac:dyDescent="0.25">
      <c r="A78" s="10"/>
      <c r="B78" s="11"/>
      <c r="C78" s="32" t="s">
        <v>62</v>
      </c>
      <c r="D78" s="33"/>
      <c r="E78" s="45">
        <f>+SUM(E79:E80)</f>
        <v>987</v>
      </c>
      <c r="F78" s="46">
        <f>+SUM(F79:F80)</f>
        <v>1093</v>
      </c>
      <c r="G78" s="36">
        <f>+SUM(G79:G80)</f>
        <v>780</v>
      </c>
      <c r="H78" s="48" t="s">
        <v>17</v>
      </c>
      <c r="I78" s="48" t="s">
        <v>17</v>
      </c>
    </row>
    <row r="79" spans="1:9" x14ac:dyDescent="0.25">
      <c r="A79" s="10"/>
      <c r="B79" s="11"/>
      <c r="C79" s="11"/>
      <c r="D79" s="49" t="s">
        <v>9</v>
      </c>
      <c r="E79" s="45">
        <f t="shared" ref="E79:G80" si="3">SUM(E67,E71,E75)</f>
        <v>27</v>
      </c>
      <c r="F79" s="46">
        <f t="shared" si="3"/>
        <v>27</v>
      </c>
      <c r="G79" s="36">
        <f t="shared" si="3"/>
        <v>56</v>
      </c>
      <c r="H79" s="48" t="s">
        <v>17</v>
      </c>
      <c r="I79" s="48" t="s">
        <v>17</v>
      </c>
    </row>
    <row r="80" spans="1:9" x14ac:dyDescent="0.25">
      <c r="A80" s="10"/>
      <c r="B80" s="11"/>
      <c r="C80" s="11"/>
      <c r="D80" s="49" t="s">
        <v>13</v>
      </c>
      <c r="E80" s="45">
        <f t="shared" si="3"/>
        <v>960</v>
      </c>
      <c r="F80" s="46">
        <f t="shared" si="3"/>
        <v>1066</v>
      </c>
      <c r="G80" s="99">
        <f t="shared" si="3"/>
        <v>724</v>
      </c>
      <c r="H80" s="48" t="s">
        <v>17</v>
      </c>
      <c r="I80" s="48" t="s">
        <v>17</v>
      </c>
    </row>
    <row r="81" spans="1:11" x14ac:dyDescent="0.25">
      <c r="A81" s="10"/>
      <c r="B81" s="11"/>
      <c r="C81" s="11"/>
      <c r="D81" s="33"/>
      <c r="E81" s="100"/>
      <c r="F81" s="101"/>
      <c r="G81" s="102"/>
      <c r="H81" s="37"/>
      <c r="I81" s="37"/>
    </row>
    <row r="82" spans="1:11" x14ac:dyDescent="0.25">
      <c r="A82" s="10"/>
      <c r="B82" s="25" t="s">
        <v>63</v>
      </c>
      <c r="C82" s="26"/>
      <c r="D82" s="27"/>
      <c r="E82" s="28"/>
      <c r="F82" s="29"/>
      <c r="G82" s="30"/>
      <c r="H82" s="31"/>
      <c r="I82" s="31"/>
    </row>
    <row r="83" spans="1:11" x14ac:dyDescent="0.25">
      <c r="A83" s="10"/>
      <c r="B83" s="11"/>
      <c r="C83" s="11"/>
      <c r="D83" s="33"/>
      <c r="E83" s="100"/>
      <c r="F83" s="101"/>
      <c r="G83" s="102"/>
      <c r="H83" s="103"/>
      <c r="I83" s="103"/>
    </row>
    <row r="84" spans="1:11" x14ac:dyDescent="0.25">
      <c r="A84" s="10"/>
      <c r="B84" s="11"/>
      <c r="C84" s="104" t="s">
        <v>64</v>
      </c>
      <c r="D84" s="105"/>
      <c r="E84" s="106"/>
      <c r="F84" s="107"/>
      <c r="G84" s="108"/>
      <c r="H84" s="109"/>
      <c r="I84" s="109"/>
    </row>
    <row r="85" spans="1:11" s="44" customFormat="1" x14ac:dyDescent="0.25">
      <c r="A85" s="39"/>
      <c r="B85" s="32"/>
      <c r="C85" s="32"/>
      <c r="D85" s="110" t="s">
        <v>65</v>
      </c>
      <c r="E85" s="111">
        <f>25419-24813</f>
        <v>606</v>
      </c>
      <c r="F85" s="112">
        <f>22931-23050</f>
        <v>-119</v>
      </c>
      <c r="G85" s="113">
        <f>21797-21272</f>
        <v>525</v>
      </c>
      <c r="H85" s="114" t="s">
        <v>66</v>
      </c>
      <c r="I85" s="114" t="s">
        <v>67</v>
      </c>
    </row>
    <row r="86" spans="1:11" x14ac:dyDescent="0.25">
      <c r="A86" s="10"/>
      <c r="B86" s="115"/>
      <c r="C86" s="115"/>
      <c r="D86" s="116" t="s">
        <v>68</v>
      </c>
      <c r="E86" s="117">
        <v>72</v>
      </c>
      <c r="F86" s="118">
        <v>82</v>
      </c>
      <c r="G86" s="119">
        <v>72</v>
      </c>
      <c r="H86" s="43" t="s">
        <v>66</v>
      </c>
      <c r="I86" s="43" t="s">
        <v>69</v>
      </c>
    </row>
    <row r="87" spans="1:11" x14ac:dyDescent="0.25">
      <c r="A87" s="10"/>
      <c r="B87" s="11"/>
      <c r="C87" s="32"/>
      <c r="D87" s="116" t="s">
        <v>70</v>
      </c>
      <c r="E87" s="117">
        <v>76</v>
      </c>
      <c r="F87" s="118">
        <v>81</v>
      </c>
      <c r="G87" s="119">
        <v>80</v>
      </c>
      <c r="H87" s="43" t="s">
        <v>66</v>
      </c>
      <c r="I87" s="43" t="s">
        <v>69</v>
      </c>
    </row>
    <row r="88" spans="1:11" x14ac:dyDescent="0.25">
      <c r="A88" s="10"/>
      <c r="B88" s="11"/>
      <c r="C88" s="32"/>
      <c r="D88" s="116" t="s">
        <v>71</v>
      </c>
      <c r="E88" s="117">
        <f>+SUM(E89:E94)</f>
        <v>-81</v>
      </c>
      <c r="F88" s="118">
        <f>+SUM(F89:F94)</f>
        <v>-19</v>
      </c>
      <c r="G88" s="119">
        <f>+SUM(G89:G94)</f>
        <v>-34</v>
      </c>
      <c r="H88" s="120"/>
      <c r="I88" s="120"/>
    </row>
    <row r="89" spans="1:11" x14ac:dyDescent="0.25">
      <c r="A89" s="10"/>
      <c r="B89" s="11"/>
      <c r="C89" s="32"/>
      <c r="D89" s="121" t="s">
        <v>72</v>
      </c>
      <c r="E89" s="122">
        <f>0-10</f>
        <v>-10</v>
      </c>
      <c r="F89" s="123">
        <f>0-10</f>
        <v>-10</v>
      </c>
      <c r="G89" s="124">
        <f>-4-13</f>
        <v>-17</v>
      </c>
      <c r="H89" s="43" t="s">
        <v>73</v>
      </c>
      <c r="I89" s="125" t="s">
        <v>74</v>
      </c>
    </row>
    <row r="90" spans="1:11" x14ac:dyDescent="0.25">
      <c r="A90" s="10"/>
      <c r="B90" s="11"/>
      <c r="C90" s="32"/>
      <c r="D90" s="121" t="s">
        <v>75</v>
      </c>
      <c r="E90" s="122">
        <f>-36-43+8</f>
        <v>-71</v>
      </c>
      <c r="F90" s="123">
        <f>-20+11</f>
        <v>-9</v>
      </c>
      <c r="G90" s="124">
        <f>-18+1</f>
        <v>-17</v>
      </c>
      <c r="H90" s="43" t="s">
        <v>76</v>
      </c>
      <c r="I90" s="125" t="s">
        <v>74</v>
      </c>
    </row>
    <row r="91" spans="1:11" x14ac:dyDescent="0.25">
      <c r="A91" s="10"/>
      <c r="B91" s="11"/>
      <c r="C91" s="32"/>
      <c r="D91" s="126" t="s">
        <v>77</v>
      </c>
      <c r="E91" s="122">
        <v>0</v>
      </c>
      <c r="F91" s="123">
        <v>0</v>
      </c>
      <c r="G91" s="124">
        <v>0</v>
      </c>
      <c r="H91" s="43"/>
      <c r="I91" s="125"/>
    </row>
    <row r="92" spans="1:11" x14ac:dyDescent="0.25">
      <c r="A92" s="10"/>
      <c r="B92" s="11"/>
      <c r="C92" s="32"/>
      <c r="D92" s="121" t="s">
        <v>78</v>
      </c>
      <c r="E92" s="122">
        <f>0+0+0</f>
        <v>0</v>
      </c>
      <c r="F92" s="123">
        <v>15</v>
      </c>
      <c r="G92" s="124">
        <v>0</v>
      </c>
      <c r="H92" s="43" t="s">
        <v>79</v>
      </c>
      <c r="I92" s="125" t="s">
        <v>80</v>
      </c>
      <c r="J92" s="127"/>
      <c r="K92" s="127"/>
    </row>
    <row r="93" spans="1:11" x14ac:dyDescent="0.25">
      <c r="A93" s="10"/>
      <c r="B93" s="11"/>
      <c r="C93" s="32"/>
      <c r="D93" s="121" t="s">
        <v>81</v>
      </c>
      <c r="E93" s="122">
        <f>0+0+0</f>
        <v>0</v>
      </c>
      <c r="F93" s="123">
        <v>0</v>
      </c>
      <c r="G93" s="124">
        <v>0</v>
      </c>
      <c r="H93" s="43" t="s">
        <v>79</v>
      </c>
      <c r="I93" s="125"/>
    </row>
    <row r="94" spans="1:11" x14ac:dyDescent="0.25">
      <c r="A94" s="10"/>
      <c r="B94" s="11"/>
      <c r="C94" s="32"/>
      <c r="D94" s="121" t="s">
        <v>82</v>
      </c>
      <c r="E94" s="122">
        <f>-E92</f>
        <v>0</v>
      </c>
      <c r="F94" s="123">
        <f>-F92</f>
        <v>-15</v>
      </c>
      <c r="G94" s="124">
        <f>-G92</f>
        <v>0</v>
      </c>
      <c r="H94" s="128" t="s">
        <v>21</v>
      </c>
      <c r="I94" s="129" t="s">
        <v>21</v>
      </c>
    </row>
    <row r="95" spans="1:11" x14ac:dyDescent="0.25">
      <c r="A95" s="10"/>
      <c r="B95" s="11"/>
      <c r="C95" s="32"/>
      <c r="D95" s="116" t="s">
        <v>83</v>
      </c>
      <c r="E95" s="117">
        <f>+SUM(E96:E100)</f>
        <v>24</v>
      </c>
      <c r="F95" s="118">
        <f>+SUM(F96:F100)</f>
        <v>-166</v>
      </c>
      <c r="G95" s="119">
        <f>+SUM(G96:G100)</f>
        <v>-84</v>
      </c>
      <c r="H95" s="37"/>
      <c r="I95" s="37"/>
    </row>
    <row r="96" spans="1:11" x14ac:dyDescent="0.25">
      <c r="A96" s="10"/>
      <c r="B96" s="11"/>
      <c r="C96" s="32"/>
      <c r="D96" s="121" t="s">
        <v>84</v>
      </c>
      <c r="E96" s="122">
        <v>1653</v>
      </c>
      <c r="F96" s="123">
        <v>1786</v>
      </c>
      <c r="G96" s="124">
        <v>1919</v>
      </c>
      <c r="H96" s="43" t="s">
        <v>85</v>
      </c>
      <c r="I96" s="125" t="s">
        <v>86</v>
      </c>
      <c r="J96" s="130"/>
    </row>
    <row r="97" spans="1:10" x14ac:dyDescent="0.25">
      <c r="A97" s="10"/>
      <c r="B97" s="11"/>
      <c r="C97" s="32"/>
      <c r="D97" s="121" t="s">
        <v>82</v>
      </c>
      <c r="E97" s="122">
        <f>-E94</f>
        <v>0</v>
      </c>
      <c r="F97" s="123">
        <f>-F94</f>
        <v>15</v>
      </c>
      <c r="G97" s="124">
        <f>-G94</f>
        <v>0</v>
      </c>
      <c r="H97" s="128" t="s">
        <v>21</v>
      </c>
      <c r="I97" s="129" t="s">
        <v>21</v>
      </c>
    </row>
    <row r="98" spans="1:10" x14ac:dyDescent="0.25">
      <c r="A98" s="10"/>
      <c r="B98" s="11"/>
      <c r="C98" s="32"/>
      <c r="D98" s="121" t="s">
        <v>87</v>
      </c>
      <c r="E98" s="122">
        <v>0</v>
      </c>
      <c r="F98" s="123">
        <v>0</v>
      </c>
      <c r="G98" s="124">
        <v>0</v>
      </c>
      <c r="H98" s="43" t="s">
        <v>88</v>
      </c>
      <c r="I98" s="125" t="s">
        <v>88</v>
      </c>
    </row>
    <row r="99" spans="1:10" x14ac:dyDescent="0.25">
      <c r="A99" s="10"/>
      <c r="B99" s="11"/>
      <c r="C99" s="32"/>
      <c r="D99" s="121" t="s">
        <v>89</v>
      </c>
      <c r="E99" s="122">
        <f>-174-9-1446-0</f>
        <v>-1629</v>
      </c>
      <c r="F99" s="123">
        <f>-173-15-1779</f>
        <v>-1967</v>
      </c>
      <c r="G99" s="124">
        <f>-186-16-1801</f>
        <v>-2003</v>
      </c>
      <c r="H99" s="43" t="s">
        <v>90</v>
      </c>
      <c r="I99" s="125" t="s">
        <v>91</v>
      </c>
    </row>
    <row r="100" spans="1:10" x14ac:dyDescent="0.25">
      <c r="A100" s="10"/>
      <c r="B100" s="11"/>
      <c r="C100" s="32"/>
      <c r="D100" s="121" t="s">
        <v>92</v>
      </c>
      <c r="E100" s="122">
        <v>0</v>
      </c>
      <c r="F100" s="123">
        <v>0</v>
      </c>
      <c r="G100" s="124">
        <v>0</v>
      </c>
      <c r="H100" s="43" t="s">
        <v>93</v>
      </c>
      <c r="I100" s="125" t="s">
        <v>93</v>
      </c>
    </row>
    <row r="101" spans="1:10" x14ac:dyDescent="0.25">
      <c r="A101" s="10"/>
      <c r="B101" s="11"/>
      <c r="C101" s="32"/>
      <c r="D101" s="116" t="s">
        <v>94</v>
      </c>
      <c r="E101" s="117">
        <f>+SUM(E102:E106,E110)</f>
        <v>510</v>
      </c>
      <c r="F101" s="118">
        <f>+SUM(F102:F106,F110)</f>
        <v>-186</v>
      </c>
      <c r="G101" s="119">
        <f>+SUM(G102:G106,G110)</f>
        <v>442</v>
      </c>
      <c r="H101" s="37"/>
      <c r="I101" s="37"/>
    </row>
    <row r="102" spans="1:10" x14ac:dyDescent="0.25">
      <c r="A102" s="10"/>
      <c r="B102" s="11"/>
      <c r="C102" s="131"/>
      <c r="D102" s="121" t="s">
        <v>95</v>
      </c>
      <c r="E102" s="122">
        <v>23601</v>
      </c>
      <c r="F102" s="123">
        <v>20947</v>
      </c>
      <c r="G102" s="124">
        <v>19719</v>
      </c>
      <c r="H102" s="43" t="s">
        <v>85</v>
      </c>
      <c r="I102" s="125" t="s">
        <v>69</v>
      </c>
      <c r="J102" s="130"/>
    </row>
    <row r="103" spans="1:10" x14ac:dyDescent="0.25">
      <c r="A103" s="10"/>
      <c r="B103" s="11"/>
      <c r="C103" s="131"/>
      <c r="D103" s="121" t="s">
        <v>96</v>
      </c>
      <c r="E103" s="122">
        <f>-3989-39-18430-142</f>
        <v>-22600</v>
      </c>
      <c r="F103" s="123">
        <f>-3952+6-15728-122</f>
        <v>-19796</v>
      </c>
      <c r="G103" s="124">
        <f>-3535-47-14635-123</f>
        <v>-18340</v>
      </c>
      <c r="H103" s="43" t="s">
        <v>97</v>
      </c>
      <c r="I103" s="125" t="s">
        <v>98</v>
      </c>
    </row>
    <row r="104" spans="1:10" x14ac:dyDescent="0.25">
      <c r="A104" s="10"/>
      <c r="B104" s="11"/>
      <c r="C104" s="131"/>
      <c r="D104" s="121" t="s">
        <v>92</v>
      </c>
      <c r="E104" s="122">
        <v>0</v>
      </c>
      <c r="F104" s="123">
        <v>0</v>
      </c>
      <c r="G104" s="124">
        <v>0</v>
      </c>
      <c r="H104" s="43"/>
      <c r="I104" s="125" t="s">
        <v>93</v>
      </c>
    </row>
    <row r="105" spans="1:10" x14ac:dyDescent="0.25">
      <c r="A105" s="10"/>
      <c r="B105" s="11"/>
      <c r="C105" s="131"/>
      <c r="D105" s="121" t="s">
        <v>99</v>
      </c>
      <c r="E105" s="122">
        <f>-21+38+80+142</f>
        <v>239</v>
      </c>
      <c r="F105" s="123">
        <f>-379-16-543+123</f>
        <v>-815</v>
      </c>
      <c r="G105" s="124">
        <f>-88+55-978+123</f>
        <v>-888</v>
      </c>
      <c r="H105" s="43" t="s">
        <v>100</v>
      </c>
      <c r="I105" s="125" t="s">
        <v>101</v>
      </c>
    </row>
    <row r="106" spans="1:10" x14ac:dyDescent="0.25">
      <c r="A106" s="10"/>
      <c r="B106" s="11"/>
      <c r="C106" s="131"/>
      <c r="D106" s="121" t="s">
        <v>102</v>
      </c>
      <c r="E106" s="122">
        <f>SUM(E107:E109)</f>
        <v>-121</v>
      </c>
      <c r="F106" s="123">
        <f>SUM(F107:F109)</f>
        <v>-19</v>
      </c>
      <c r="G106" s="124">
        <f>SUM(G107:G109)</f>
        <v>473</v>
      </c>
      <c r="H106" s="43"/>
      <c r="I106" s="125"/>
    </row>
    <row r="107" spans="1:10" x14ac:dyDescent="0.25">
      <c r="A107" s="10"/>
      <c r="B107" s="11"/>
      <c r="C107" s="32"/>
      <c r="D107" s="132" t="s">
        <v>72</v>
      </c>
      <c r="E107" s="133">
        <v>0</v>
      </c>
      <c r="F107" s="134">
        <v>0</v>
      </c>
      <c r="G107" s="135">
        <v>0</v>
      </c>
      <c r="H107" s="120"/>
      <c r="I107" s="120"/>
    </row>
    <row r="108" spans="1:10" x14ac:dyDescent="0.25">
      <c r="A108" s="10"/>
      <c r="B108" s="11"/>
      <c r="C108" s="32"/>
      <c r="D108" s="132" t="s">
        <v>103</v>
      </c>
      <c r="E108" s="133">
        <f>-121-(43-43)</f>
        <v>-121</v>
      </c>
      <c r="F108" s="134">
        <f>-18-12+11</f>
        <v>-19</v>
      </c>
      <c r="G108" s="135">
        <f>482-9</f>
        <v>473</v>
      </c>
      <c r="H108" s="66" t="s">
        <v>104</v>
      </c>
      <c r="I108" s="136" t="s">
        <v>105</v>
      </c>
    </row>
    <row r="109" spans="1:10" x14ac:dyDescent="0.25">
      <c r="A109" s="10"/>
      <c r="B109" s="11"/>
      <c r="C109" s="32"/>
      <c r="D109" s="132" t="s">
        <v>106</v>
      </c>
      <c r="E109" s="133">
        <v>0</v>
      </c>
      <c r="F109" s="134">
        <v>0</v>
      </c>
      <c r="G109" s="135">
        <v>0</v>
      </c>
      <c r="H109" s="120"/>
      <c r="I109" s="120"/>
    </row>
    <row r="110" spans="1:10" x14ac:dyDescent="0.25">
      <c r="A110" s="10"/>
      <c r="B110" s="11"/>
      <c r="C110" s="32"/>
      <c r="D110" s="121" t="s">
        <v>30</v>
      </c>
      <c r="E110" s="122">
        <f>+SUM(E111:E112)</f>
        <v>-609</v>
      </c>
      <c r="F110" s="123">
        <f>+SUM(F111:F112)</f>
        <v>-503</v>
      </c>
      <c r="G110" s="124">
        <f>+SUM(G111:G112)</f>
        <v>-522</v>
      </c>
      <c r="H110" s="120"/>
      <c r="I110" s="120"/>
    </row>
    <row r="111" spans="1:10" x14ac:dyDescent="0.25">
      <c r="A111" s="10"/>
      <c r="B111" s="11"/>
      <c r="C111" s="32"/>
      <c r="D111" s="132" t="s">
        <v>107</v>
      </c>
      <c r="E111" s="133">
        <v>0</v>
      </c>
      <c r="F111" s="134">
        <v>0</v>
      </c>
      <c r="G111" s="135">
        <v>0</v>
      </c>
      <c r="H111" s="137"/>
      <c r="I111" s="137"/>
    </row>
    <row r="112" spans="1:10" x14ac:dyDescent="0.25">
      <c r="A112" s="10"/>
      <c r="B112" s="11"/>
      <c r="C112" s="32"/>
      <c r="D112" s="132" t="s">
        <v>108</v>
      </c>
      <c r="E112" s="133">
        <f>-620-E117</f>
        <v>-609</v>
      </c>
      <c r="F112" s="134">
        <f>-513-F117</f>
        <v>-503</v>
      </c>
      <c r="G112" s="135">
        <f>-528-G117</f>
        <v>-522</v>
      </c>
      <c r="H112" s="138" t="s">
        <v>109</v>
      </c>
      <c r="I112" s="138" t="s">
        <v>110</v>
      </c>
    </row>
    <row r="113" spans="1:14" x14ac:dyDescent="0.25">
      <c r="A113" s="10"/>
      <c r="B113" s="11"/>
      <c r="C113" s="32"/>
      <c r="D113" s="116" t="s">
        <v>111</v>
      </c>
      <c r="E113" s="117">
        <f>+SUM(E114:E118)</f>
        <v>5</v>
      </c>
      <c r="F113" s="118">
        <f>+SUM(F114:F118)</f>
        <v>89</v>
      </c>
      <c r="G113" s="119">
        <f>+SUM(G114:G118)</f>
        <v>49</v>
      </c>
      <c r="H113" s="120"/>
      <c r="I113" s="120"/>
    </row>
    <row r="114" spans="1:14" x14ac:dyDescent="0.25">
      <c r="A114" s="10"/>
      <c r="B114" s="11"/>
      <c r="C114" s="32"/>
      <c r="D114" s="121" t="s">
        <v>112</v>
      </c>
      <c r="E114" s="122">
        <v>6</v>
      </c>
      <c r="F114" s="123">
        <v>19</v>
      </c>
      <c r="G114" s="124">
        <v>-1</v>
      </c>
      <c r="H114" s="43" t="s">
        <v>85</v>
      </c>
      <c r="I114" s="125" t="s">
        <v>69</v>
      </c>
    </row>
    <row r="115" spans="1:14" x14ac:dyDescent="0.25">
      <c r="A115" s="10"/>
      <c r="B115" s="11"/>
      <c r="C115" s="32"/>
      <c r="D115" s="121" t="s">
        <v>99</v>
      </c>
      <c r="E115" s="122">
        <f>0+1+5</f>
        <v>6</v>
      </c>
      <c r="F115" s="123">
        <f>-5+8+58</f>
        <v>61</v>
      </c>
      <c r="G115" s="124">
        <f>-25+8+59</f>
        <v>42</v>
      </c>
      <c r="H115" s="43" t="s">
        <v>113</v>
      </c>
      <c r="I115" s="125" t="s">
        <v>114</v>
      </c>
    </row>
    <row r="116" spans="1:14" x14ac:dyDescent="0.25">
      <c r="A116" s="10"/>
      <c r="B116" s="11"/>
      <c r="C116" s="32"/>
      <c r="D116" s="121" t="s">
        <v>115</v>
      </c>
      <c r="E116" s="122">
        <v>11</v>
      </c>
      <c r="F116" s="123">
        <v>16</v>
      </c>
      <c r="G116" s="124">
        <v>8</v>
      </c>
      <c r="H116" s="43" t="s">
        <v>85</v>
      </c>
      <c r="I116" s="125" t="s">
        <v>69</v>
      </c>
    </row>
    <row r="117" spans="1:14" x14ac:dyDescent="0.25">
      <c r="A117" s="10"/>
      <c r="B117" s="11"/>
      <c r="C117" s="32"/>
      <c r="D117" s="121" t="s">
        <v>108</v>
      </c>
      <c r="E117" s="122">
        <v>-11</v>
      </c>
      <c r="F117" s="123">
        <v>-10</v>
      </c>
      <c r="G117" s="124">
        <v>-6</v>
      </c>
      <c r="H117" s="43" t="s">
        <v>85</v>
      </c>
      <c r="I117" s="125" t="s">
        <v>116</v>
      </c>
    </row>
    <row r="118" spans="1:14" x14ac:dyDescent="0.25">
      <c r="A118" s="10"/>
      <c r="B118" s="11"/>
      <c r="C118" s="11"/>
      <c r="D118" s="139" t="s">
        <v>117</v>
      </c>
      <c r="E118" s="122">
        <v>-7</v>
      </c>
      <c r="F118" s="140">
        <v>3</v>
      </c>
      <c r="G118" s="124">
        <v>6</v>
      </c>
      <c r="H118" s="120"/>
      <c r="I118" s="120"/>
    </row>
    <row r="119" spans="1:14" x14ac:dyDescent="0.25">
      <c r="A119" s="10"/>
      <c r="B119" s="11"/>
      <c r="C119" s="11"/>
      <c r="D119" s="141" t="s">
        <v>118</v>
      </c>
      <c r="E119" s="84">
        <f>SUM(E86:E88,E95,E101,E113)-E85</f>
        <v>0</v>
      </c>
      <c r="F119" s="85">
        <f>SUM(F86:F88,F95,F101,F113)-F85</f>
        <v>0</v>
      </c>
      <c r="G119" s="86">
        <f>SUM(G86:G88,G95,G101,G113)-G85</f>
        <v>0</v>
      </c>
      <c r="H119" s="74"/>
      <c r="I119" s="74"/>
    </row>
    <row r="120" spans="1:14" x14ac:dyDescent="0.25">
      <c r="A120" s="10"/>
      <c r="B120" s="11"/>
      <c r="C120" s="11"/>
      <c r="D120" s="141" t="s">
        <v>95</v>
      </c>
      <c r="E120" s="84" t="b">
        <f>SUM(E86,E87,E96,E102,E114,E116,E98)=25419</f>
        <v>1</v>
      </c>
      <c r="F120" s="85" t="b">
        <f>SUM(F86,F87,F96,F102,F114,F116,F98)=22931</f>
        <v>1</v>
      </c>
      <c r="G120" s="86" t="b">
        <f>SUM(G86,G87,G96,G102,G114,G116,G98)=21797</f>
        <v>1</v>
      </c>
      <c r="H120" s="120"/>
      <c r="I120" s="120"/>
    </row>
    <row r="121" spans="1:14" x14ac:dyDescent="0.25">
      <c r="A121" s="10"/>
      <c r="B121" s="11"/>
      <c r="C121" s="11"/>
      <c r="D121" s="141" t="s">
        <v>119</v>
      </c>
      <c r="E121" s="84" t="b">
        <f>SUM(E88,E97,E99,E103,E105,E110,E106,E115,E117)=-24813</f>
        <v>0</v>
      </c>
      <c r="F121" s="85" t="b">
        <f>SUM(F88,F97,F99,F103,F105,F110,F106,F115,F117)=-23050</f>
        <v>0</v>
      </c>
      <c r="G121" s="86" t="b">
        <f>SUM(G88,G97,G99,G103,G105,G110,G106,G115,G117)=-21272</f>
        <v>0</v>
      </c>
      <c r="H121" s="74"/>
      <c r="I121" s="74"/>
    </row>
    <row r="122" spans="1:14" x14ac:dyDescent="0.25">
      <c r="A122" s="10"/>
      <c r="B122" s="11"/>
      <c r="C122" s="11"/>
      <c r="D122" s="142"/>
      <c r="E122" s="84">
        <f>SUM(E88,E97,E99,E103,E105,E110,E106,E115,E117)+24813</f>
        <v>7</v>
      </c>
      <c r="F122" s="84">
        <f>SUM(F88,F97,F99,F103,F105,F110,F106,F115,F117)+23050</f>
        <v>-3</v>
      </c>
      <c r="G122" s="84">
        <f>SUM(G88,G97,G99,G103,G105,G110,G106,G115,G117)+21272</f>
        <v>-6</v>
      </c>
      <c r="H122" s="120"/>
      <c r="I122" s="120"/>
    </row>
    <row r="123" spans="1:14" x14ac:dyDescent="0.25">
      <c r="A123" s="10"/>
      <c r="B123" s="11"/>
      <c r="C123" s="11"/>
      <c r="D123" s="143"/>
      <c r="E123" s="40"/>
      <c r="F123" s="41"/>
      <c r="G123" s="42"/>
      <c r="H123" s="120"/>
      <c r="I123" s="120"/>
    </row>
    <row r="124" spans="1:14" s="44" customFormat="1" x14ac:dyDescent="0.25">
      <c r="A124" s="39"/>
      <c r="B124" s="32"/>
      <c r="C124" s="32"/>
      <c r="D124" s="110" t="s">
        <v>120</v>
      </c>
      <c r="E124" s="144">
        <v>-176</v>
      </c>
      <c r="F124" s="145">
        <v>429</v>
      </c>
      <c r="G124" s="146">
        <v>-52</v>
      </c>
      <c r="H124" s="114" t="s">
        <v>121</v>
      </c>
      <c r="I124" s="114" t="s">
        <v>67</v>
      </c>
    </row>
    <row r="125" spans="1:14" x14ac:dyDescent="0.25">
      <c r="A125" s="10"/>
      <c r="B125" s="11"/>
      <c r="C125" s="11"/>
      <c r="D125" s="33"/>
      <c r="E125" s="40"/>
      <c r="F125" s="41"/>
      <c r="G125" s="42"/>
      <c r="H125" s="147"/>
      <c r="I125" s="147"/>
    </row>
    <row r="126" spans="1:14" s="44" customFormat="1" x14ac:dyDescent="0.25">
      <c r="A126" s="39"/>
      <c r="B126" s="32"/>
      <c r="C126" s="32"/>
      <c r="D126" s="110" t="s">
        <v>122</v>
      </c>
      <c r="E126" s="144">
        <f>1478+713-520</f>
        <v>1671</v>
      </c>
      <c r="F126" s="145">
        <f>762+582-364</f>
        <v>980</v>
      </c>
      <c r="G126" s="146">
        <f>-1222+226-137</f>
        <v>-1133</v>
      </c>
      <c r="H126" s="114" t="s">
        <v>123</v>
      </c>
      <c r="I126" s="114" t="s">
        <v>67</v>
      </c>
    </row>
    <row r="127" spans="1:14" s="44" customFormat="1" x14ac:dyDescent="0.25">
      <c r="A127" s="39"/>
      <c r="B127" s="32"/>
      <c r="C127" s="32"/>
      <c r="D127" s="116" t="s">
        <v>124</v>
      </c>
      <c r="E127" s="148"/>
      <c r="F127" s="149"/>
      <c r="G127" s="150"/>
      <c r="H127" s="120"/>
      <c r="I127" s="120"/>
      <c r="L127"/>
      <c r="M127"/>
      <c r="N127"/>
    </row>
    <row r="128" spans="1:14" s="44" customFormat="1" x14ac:dyDescent="0.25">
      <c r="A128" s="39"/>
      <c r="B128" s="32"/>
      <c r="C128" s="32"/>
      <c r="D128" s="151" t="s">
        <v>125</v>
      </c>
      <c r="E128" s="148"/>
      <c r="F128" s="149"/>
      <c r="G128" s="150"/>
      <c r="H128" s="120"/>
      <c r="I128" s="120"/>
      <c r="L128"/>
      <c r="M128"/>
      <c r="N128"/>
    </row>
    <row r="129" spans="1:14" s="44" customFormat="1" x14ac:dyDescent="0.25">
      <c r="A129" s="39"/>
      <c r="B129" s="32"/>
      <c r="C129" s="32"/>
      <c r="D129" s="152" t="s">
        <v>126</v>
      </c>
      <c r="E129" s="153"/>
      <c r="F129" s="154"/>
      <c r="G129" s="155"/>
      <c r="H129" s="137"/>
      <c r="I129" s="137"/>
      <c r="L129"/>
      <c r="M129"/>
      <c r="N129"/>
    </row>
    <row r="130" spans="1:14" s="44" customFormat="1" x14ac:dyDescent="0.25">
      <c r="A130" s="39"/>
      <c r="B130" s="32"/>
      <c r="C130" s="32"/>
      <c r="D130" s="152" t="s">
        <v>127</v>
      </c>
      <c r="E130" s="156"/>
      <c r="F130" s="157"/>
      <c r="G130" s="158"/>
      <c r="H130" s="137"/>
      <c r="I130" s="137"/>
      <c r="L130"/>
      <c r="M130"/>
      <c r="N130"/>
    </row>
    <row r="131" spans="1:14" s="44" customFormat="1" x14ac:dyDescent="0.25">
      <c r="A131" s="39"/>
      <c r="B131" s="32"/>
      <c r="C131" s="32"/>
      <c r="D131" s="152" t="s">
        <v>128</v>
      </c>
      <c r="E131" s="153"/>
      <c r="F131" s="154"/>
      <c r="G131" s="155"/>
      <c r="H131" s="43"/>
      <c r="I131" s="43"/>
      <c r="L131"/>
      <c r="M131"/>
      <c r="N131"/>
    </row>
    <row r="132" spans="1:14" s="44" customFormat="1" x14ac:dyDescent="0.25">
      <c r="A132" s="39"/>
      <c r="B132" s="32"/>
      <c r="C132" s="32"/>
      <c r="D132" s="152" t="s">
        <v>129</v>
      </c>
      <c r="E132" s="153"/>
      <c r="F132" s="154"/>
      <c r="G132" s="155"/>
      <c r="H132" s="137"/>
      <c r="I132" s="137"/>
      <c r="L132"/>
      <c r="M132"/>
      <c r="N132"/>
    </row>
    <row r="133" spans="1:14" s="44" customFormat="1" x14ac:dyDescent="0.25">
      <c r="A133" s="39"/>
      <c r="B133" s="32"/>
      <c r="C133" s="32"/>
      <c r="D133" s="159"/>
      <c r="E133" s="160">
        <f>SUM(E129:E132)</f>
        <v>0</v>
      </c>
      <c r="F133" s="161">
        <f>SUM(F129:F132)</f>
        <v>0</v>
      </c>
      <c r="G133" s="162">
        <f>SUM(G129:G132)</f>
        <v>0</v>
      </c>
      <c r="H133" s="120"/>
      <c r="I133" s="120"/>
      <c r="L133"/>
      <c r="M133"/>
      <c r="N133"/>
    </row>
    <row r="134" spans="1:14" s="44" customFormat="1" x14ac:dyDescent="0.25">
      <c r="A134" s="39"/>
      <c r="B134" s="32"/>
      <c r="C134" s="32"/>
      <c r="D134" s="151" t="s">
        <v>130</v>
      </c>
      <c r="E134" s="163"/>
      <c r="F134" s="164"/>
      <c r="G134" s="165"/>
      <c r="H134" s="120"/>
      <c r="I134" s="120"/>
      <c r="L134"/>
      <c r="M134"/>
      <c r="N134"/>
    </row>
    <row r="135" spans="1:14" s="44" customFormat="1" x14ac:dyDescent="0.25">
      <c r="A135" s="39"/>
      <c r="B135" s="32"/>
      <c r="C135" s="32"/>
      <c r="D135" s="152" t="s">
        <v>126</v>
      </c>
      <c r="E135" s="163">
        <f>5+1466+33+518</f>
        <v>2022</v>
      </c>
      <c r="F135" s="164">
        <f>1+1216+27+398</f>
        <v>1642</v>
      </c>
      <c r="G135" s="165">
        <f>16+907-5+282</f>
        <v>1200</v>
      </c>
      <c r="H135" s="137" t="s">
        <v>131</v>
      </c>
      <c r="I135" s="137" t="s">
        <v>132</v>
      </c>
      <c r="L135"/>
      <c r="M135"/>
      <c r="N135"/>
    </row>
    <row r="136" spans="1:14" s="44" customFormat="1" x14ac:dyDescent="0.25">
      <c r="A136" s="39"/>
      <c r="B136" s="32"/>
      <c r="C136" s="32"/>
      <c r="D136" s="152" t="s">
        <v>127</v>
      </c>
      <c r="E136" s="163">
        <f>1114+419+49+39-142-33-1466+1636</f>
        <v>1616</v>
      </c>
      <c r="F136" s="164">
        <f>585+1386-114+261-37-195-1216+1447</f>
        <v>2117</v>
      </c>
      <c r="G136" s="165">
        <f>-1444-6298+5-1156-42-95-907+1028</f>
        <v>-8909</v>
      </c>
      <c r="H136" s="137" t="s">
        <v>133</v>
      </c>
      <c r="I136" s="137" t="s">
        <v>134</v>
      </c>
      <c r="L136"/>
      <c r="M136"/>
      <c r="N136"/>
    </row>
    <row r="137" spans="1:14" s="44" customFormat="1" x14ac:dyDescent="0.25">
      <c r="A137" s="39"/>
      <c r="B137" s="32"/>
      <c r="C137" s="32"/>
      <c r="D137" s="152" t="s">
        <v>128</v>
      </c>
      <c r="E137" s="163">
        <v>142</v>
      </c>
      <c r="F137" s="164">
        <v>195</v>
      </c>
      <c r="G137" s="165">
        <v>95</v>
      </c>
      <c r="H137" s="137" t="s">
        <v>133</v>
      </c>
      <c r="I137" s="137" t="s">
        <v>134</v>
      </c>
      <c r="L137"/>
      <c r="M137"/>
      <c r="N137"/>
    </row>
    <row r="138" spans="1:14" s="44" customFormat="1" x14ac:dyDescent="0.25">
      <c r="A138" s="39"/>
      <c r="B138" s="32"/>
      <c r="C138" s="32"/>
      <c r="D138" s="152" t="s">
        <v>135</v>
      </c>
      <c r="E138" s="163">
        <v>0</v>
      </c>
      <c r="F138" s="164">
        <v>0</v>
      </c>
      <c r="G138" s="165">
        <v>0</v>
      </c>
      <c r="H138" s="137" t="s">
        <v>136</v>
      </c>
      <c r="I138" s="137" t="s">
        <v>137</v>
      </c>
      <c r="L138"/>
      <c r="M138"/>
      <c r="N138"/>
    </row>
    <row r="139" spans="1:14" s="44" customFormat="1" x14ac:dyDescent="0.25">
      <c r="A139" s="39"/>
      <c r="B139" s="32"/>
      <c r="C139" s="32"/>
      <c r="D139" s="152" t="s">
        <v>138</v>
      </c>
      <c r="E139" s="163">
        <f>-100+161-4-109</f>
        <v>-52</v>
      </c>
      <c r="F139" s="164">
        <f>-58+150-8-83</f>
        <v>1</v>
      </c>
      <c r="G139" s="165">
        <f>-3943-60+7</f>
        <v>-3996</v>
      </c>
      <c r="H139" s="137" t="s">
        <v>139</v>
      </c>
      <c r="I139" s="137" t="s">
        <v>140</v>
      </c>
      <c r="L139"/>
      <c r="M139"/>
      <c r="N139"/>
    </row>
    <row r="140" spans="1:14" s="44" customFormat="1" x14ac:dyDescent="0.25">
      <c r="A140" s="39"/>
      <c r="B140" s="32"/>
      <c r="C140" s="32"/>
      <c r="D140" s="152" t="s">
        <v>141</v>
      </c>
      <c r="E140" s="163">
        <v>0</v>
      </c>
      <c r="F140" s="164">
        <v>0</v>
      </c>
      <c r="G140" s="165">
        <v>0</v>
      </c>
      <c r="H140" s="137"/>
      <c r="I140" s="137"/>
      <c r="L140"/>
      <c r="M140"/>
      <c r="N140"/>
    </row>
    <row r="141" spans="1:14" s="44" customFormat="1" x14ac:dyDescent="0.25">
      <c r="A141" s="39"/>
      <c r="B141" s="32"/>
      <c r="C141" s="32"/>
      <c r="D141" s="152" t="s">
        <v>142</v>
      </c>
      <c r="E141" s="163">
        <f>33+1</f>
        <v>34</v>
      </c>
      <c r="F141" s="164">
        <f>37+1</f>
        <v>38</v>
      </c>
      <c r="G141" s="165">
        <f>42+2</f>
        <v>44</v>
      </c>
      <c r="H141" s="137" t="s">
        <v>133</v>
      </c>
      <c r="I141" s="137" t="s">
        <v>143</v>
      </c>
      <c r="L141"/>
      <c r="M141"/>
      <c r="N141"/>
    </row>
    <row r="142" spans="1:14" s="44" customFormat="1" x14ac:dyDescent="0.25">
      <c r="A142" s="39"/>
      <c r="B142" s="32"/>
      <c r="C142" s="32"/>
      <c r="D142" s="152" t="s">
        <v>144</v>
      </c>
      <c r="E142" s="163">
        <f>1-38-10+4</f>
        <v>-43</v>
      </c>
      <c r="F142" s="164">
        <f>0-51-13+14</f>
        <v>-50</v>
      </c>
      <c r="G142" s="165">
        <f>-1+14-14</f>
        <v>-1</v>
      </c>
      <c r="H142" s="137" t="s">
        <v>145</v>
      </c>
      <c r="I142" s="137" t="s">
        <v>134</v>
      </c>
      <c r="L142"/>
      <c r="M142"/>
      <c r="N142"/>
    </row>
    <row r="143" spans="1:14" s="44" customFormat="1" x14ac:dyDescent="0.25">
      <c r="A143" s="39"/>
      <c r="B143" s="32"/>
      <c r="C143" s="32"/>
      <c r="D143" s="166"/>
      <c r="E143" s="160">
        <f>SUM(E135:E142)</f>
        <v>3719</v>
      </c>
      <c r="F143" s="161">
        <f>SUM(F135:F142)</f>
        <v>3943</v>
      </c>
      <c r="G143" s="162">
        <f>SUM(G135:G142)</f>
        <v>-11567</v>
      </c>
      <c r="H143" s="120"/>
      <c r="I143" s="120"/>
      <c r="L143"/>
      <c r="M143"/>
      <c r="N143"/>
    </row>
    <row r="144" spans="1:14" s="44" customFormat="1" x14ac:dyDescent="0.25">
      <c r="A144" s="39"/>
      <c r="B144" s="32"/>
      <c r="C144" s="32"/>
      <c r="D144" s="167"/>
      <c r="E144" s="148"/>
      <c r="F144" s="149"/>
      <c r="G144" s="150"/>
      <c r="H144" s="120"/>
      <c r="I144" s="120"/>
      <c r="L144"/>
      <c r="M144"/>
      <c r="N144"/>
    </row>
    <row r="145" spans="1:14" s="44" customFormat="1" x14ac:dyDescent="0.25">
      <c r="A145" s="39"/>
      <c r="B145" s="32"/>
      <c r="C145" s="32"/>
      <c r="D145" s="116" t="s">
        <v>146</v>
      </c>
      <c r="E145" s="148"/>
      <c r="F145" s="149"/>
      <c r="G145" s="150"/>
      <c r="H145" s="120"/>
      <c r="I145" s="120"/>
      <c r="L145"/>
      <c r="M145"/>
      <c r="N145"/>
    </row>
    <row r="146" spans="1:14" x14ac:dyDescent="0.25">
      <c r="A146" s="10"/>
      <c r="B146" s="11"/>
      <c r="C146" s="11"/>
      <c r="D146" s="151" t="s">
        <v>147</v>
      </c>
      <c r="E146" s="163">
        <v>-449</v>
      </c>
      <c r="F146" s="164">
        <v>-686</v>
      </c>
      <c r="G146" s="165">
        <v>34</v>
      </c>
      <c r="H146" s="137" t="s">
        <v>148</v>
      </c>
      <c r="I146" s="137" t="s">
        <v>149</v>
      </c>
    </row>
    <row r="147" spans="1:14" x14ac:dyDescent="0.25">
      <c r="A147" s="10"/>
      <c r="B147" s="11"/>
      <c r="C147" s="11"/>
      <c r="D147" s="151" t="s">
        <v>150</v>
      </c>
      <c r="E147" s="163">
        <f>-1728+91-E146</f>
        <v>-1188</v>
      </c>
      <c r="F147" s="164">
        <f>-2833+151-F146</f>
        <v>-1996</v>
      </c>
      <c r="G147" s="165">
        <f>10598-27-G146</f>
        <v>10537</v>
      </c>
      <c r="H147" s="137" t="s">
        <v>121</v>
      </c>
      <c r="I147" s="137" t="s">
        <v>137</v>
      </c>
    </row>
    <row r="148" spans="1:14" x14ac:dyDescent="0.25">
      <c r="A148" s="10"/>
      <c r="B148" s="11"/>
      <c r="C148" s="11"/>
      <c r="D148" s="151" t="s">
        <v>151</v>
      </c>
      <c r="E148" s="163">
        <f>-520+109</f>
        <v>-411</v>
      </c>
      <c r="F148" s="164">
        <f>-364+83</f>
        <v>-281</v>
      </c>
      <c r="G148" s="165">
        <v>-137</v>
      </c>
      <c r="H148" s="137" t="s">
        <v>152</v>
      </c>
      <c r="I148" s="137" t="s">
        <v>153</v>
      </c>
    </row>
    <row r="149" spans="1:14" x14ac:dyDescent="0.25">
      <c r="A149" s="10"/>
      <c r="B149" s="11"/>
      <c r="C149" s="11"/>
      <c r="D149" s="151"/>
      <c r="E149" s="160">
        <f>SUM(E146:E148)</f>
        <v>-2048</v>
      </c>
      <c r="F149" s="161">
        <f>SUM(F146:F148)</f>
        <v>-2963</v>
      </c>
      <c r="G149" s="162">
        <f>SUM(G146:G148)</f>
        <v>10434</v>
      </c>
      <c r="H149" s="120"/>
      <c r="I149" s="120"/>
    </row>
    <row r="150" spans="1:14" x14ac:dyDescent="0.25">
      <c r="A150" s="10"/>
      <c r="B150" s="11"/>
      <c r="C150" s="11"/>
      <c r="D150" s="159"/>
      <c r="E150" s="163"/>
      <c r="F150" s="164"/>
      <c r="G150" s="165"/>
      <c r="H150" s="120"/>
      <c r="I150" s="120"/>
    </row>
    <row r="151" spans="1:14" x14ac:dyDescent="0.25">
      <c r="A151" s="10"/>
      <c r="B151" s="11"/>
      <c r="C151" s="11"/>
      <c r="D151" s="116" t="s">
        <v>154</v>
      </c>
      <c r="E151" s="163">
        <v>0</v>
      </c>
      <c r="F151" s="164">
        <v>0</v>
      </c>
      <c r="G151" s="165">
        <v>0</v>
      </c>
      <c r="H151" s="120"/>
      <c r="I151" s="120"/>
    </row>
    <row r="152" spans="1:14" x14ac:dyDescent="0.25">
      <c r="A152" s="10"/>
      <c r="B152" s="11"/>
      <c r="C152" s="11"/>
      <c r="D152" s="159"/>
      <c r="E152" s="163"/>
      <c r="F152" s="164"/>
      <c r="G152" s="165"/>
      <c r="H152" s="120"/>
      <c r="I152" s="120"/>
    </row>
    <row r="153" spans="1:14" ht="15.75" thickBot="1" x14ac:dyDescent="0.3">
      <c r="A153" s="10"/>
      <c r="B153" s="11"/>
      <c r="C153" s="11"/>
      <c r="D153" s="159"/>
      <c r="E153" s="168">
        <f>SUM(E133,E143,E149,E151)</f>
        <v>1671</v>
      </c>
      <c r="F153" s="169">
        <f>SUM(F133,F143,F149,F151)</f>
        <v>980</v>
      </c>
      <c r="G153" s="170">
        <f>SUM(G133,G143,G149,G151)</f>
        <v>-1133</v>
      </c>
      <c r="H153" s="120"/>
      <c r="I153" s="120"/>
    </row>
    <row r="154" spans="1:14" ht="15.75" thickTop="1" x14ac:dyDescent="0.25">
      <c r="A154" s="10"/>
      <c r="B154" s="11"/>
      <c r="C154" s="11"/>
      <c r="D154" s="159"/>
      <c r="E154" s="71" t="b">
        <f>E153=E126</f>
        <v>1</v>
      </c>
      <c r="F154" s="72" t="b">
        <f>F153=F126</f>
        <v>1</v>
      </c>
      <c r="G154" s="73" t="b">
        <f>G153=G126</f>
        <v>1</v>
      </c>
      <c r="H154" s="120"/>
      <c r="I154" s="120"/>
    </row>
    <row r="155" spans="1:14" x14ac:dyDescent="0.25">
      <c r="A155" s="10"/>
      <c r="B155" s="11"/>
      <c r="C155" s="11"/>
      <c r="D155" s="159"/>
      <c r="E155" s="171"/>
      <c r="F155" s="172"/>
      <c r="G155" s="173"/>
      <c r="H155" s="120"/>
      <c r="I155" s="120"/>
    </row>
    <row r="156" spans="1:14" x14ac:dyDescent="0.25">
      <c r="A156" s="10"/>
      <c r="B156" s="11"/>
      <c r="C156" s="11"/>
      <c r="D156" s="116" t="s">
        <v>155</v>
      </c>
      <c r="E156" s="84"/>
      <c r="F156" s="85"/>
      <c r="G156" s="86"/>
      <c r="H156" s="120"/>
      <c r="I156" s="120"/>
    </row>
    <row r="157" spans="1:14" x14ac:dyDescent="0.25">
      <c r="A157" s="10"/>
      <c r="B157" s="11"/>
      <c r="C157" s="11"/>
      <c r="D157" s="174" t="s">
        <v>156</v>
      </c>
      <c r="E157" s="84"/>
      <c r="F157" s="85"/>
      <c r="G157" s="86"/>
      <c r="H157" s="120"/>
      <c r="I157" s="120"/>
    </row>
    <row r="158" spans="1:14" x14ac:dyDescent="0.25">
      <c r="A158" s="10"/>
      <c r="B158" s="11"/>
      <c r="C158" s="11"/>
      <c r="D158" s="175" t="s">
        <v>157</v>
      </c>
      <c r="E158" s="176">
        <v>2.23E-2</v>
      </c>
      <c r="F158" s="177">
        <v>3.3599999999999998E-2</v>
      </c>
      <c r="G158" s="178">
        <v>3.8399999999999997E-2</v>
      </c>
      <c r="H158" s="43" t="s">
        <v>158</v>
      </c>
      <c r="I158" s="43" t="s">
        <v>159</v>
      </c>
    </row>
    <row r="159" spans="1:14" x14ac:dyDescent="0.25">
      <c r="A159" s="10"/>
      <c r="B159" s="11"/>
      <c r="C159" s="11"/>
      <c r="D159" s="175" t="s">
        <v>160</v>
      </c>
      <c r="E159" s="176">
        <v>2.1399999999999999E-2</v>
      </c>
      <c r="F159" s="177">
        <v>2.3199999999999998E-2</v>
      </c>
      <c r="G159" s="178">
        <v>2.7900000000000001E-2</v>
      </c>
      <c r="H159" s="43" t="s">
        <v>158</v>
      </c>
      <c r="I159" s="43" t="s">
        <v>159</v>
      </c>
    </row>
    <row r="160" spans="1:14" x14ac:dyDescent="0.25">
      <c r="A160" s="10"/>
      <c r="B160" s="11"/>
      <c r="C160" s="11"/>
      <c r="D160" s="175" t="s">
        <v>161</v>
      </c>
      <c r="E160" s="176">
        <v>2.2700000000000001E-2</v>
      </c>
      <c r="F160" s="177">
        <v>2.3900000000000001E-2</v>
      </c>
      <c r="G160" s="178">
        <v>2.8400000000000002E-2</v>
      </c>
      <c r="H160" s="43" t="s">
        <v>158</v>
      </c>
      <c r="I160" s="43" t="s">
        <v>159</v>
      </c>
    </row>
    <row r="161" spans="1:9" x14ac:dyDescent="0.25">
      <c r="A161" s="10"/>
      <c r="B161" s="11"/>
      <c r="C161" s="11"/>
      <c r="D161" s="175" t="s">
        <v>162</v>
      </c>
      <c r="E161" s="176">
        <v>2.3300000000000001E-2</v>
      </c>
      <c r="F161" s="177">
        <v>2.47E-2</v>
      </c>
      <c r="G161" s="178">
        <v>2.8500000000000001E-2</v>
      </c>
      <c r="H161" s="43" t="s">
        <v>158</v>
      </c>
      <c r="I161" s="43" t="s">
        <v>159</v>
      </c>
    </row>
    <row r="162" spans="1:9" x14ac:dyDescent="0.25">
      <c r="A162" s="10"/>
      <c r="B162" s="11"/>
      <c r="C162" s="11"/>
      <c r="D162" s="175" t="s">
        <v>163</v>
      </c>
      <c r="E162" s="176">
        <v>2.2599999999999999E-2</v>
      </c>
      <c r="F162" s="177">
        <v>2.4199999999999999E-2</v>
      </c>
      <c r="G162" s="178">
        <v>2.75E-2</v>
      </c>
      <c r="H162" s="43" t="s">
        <v>158</v>
      </c>
      <c r="I162" s="43" t="s">
        <v>159</v>
      </c>
    </row>
    <row r="163" spans="1:9" x14ac:dyDescent="0.25">
      <c r="A163" s="10"/>
      <c r="B163" s="11"/>
      <c r="C163" s="11"/>
      <c r="D163" s="175" t="s">
        <v>164</v>
      </c>
      <c r="E163" s="176">
        <v>0.02</v>
      </c>
      <c r="F163" s="177">
        <v>2.1899999999999999E-2</v>
      </c>
      <c r="G163" s="178">
        <v>2.4799999999999999E-2</v>
      </c>
      <c r="H163" s="43" t="s">
        <v>158</v>
      </c>
      <c r="I163" s="43" t="s">
        <v>159</v>
      </c>
    </row>
    <row r="164" spans="1:9" x14ac:dyDescent="0.25">
      <c r="A164" s="10"/>
      <c r="B164" s="11"/>
      <c r="C164" s="11"/>
      <c r="D164" s="175" t="s">
        <v>165</v>
      </c>
      <c r="E164" s="176" t="s">
        <v>166</v>
      </c>
      <c r="F164" s="177" t="s">
        <v>166</v>
      </c>
      <c r="G164" s="178" t="s">
        <v>166</v>
      </c>
      <c r="H164" s="43"/>
      <c r="I164" s="43" t="s">
        <v>159</v>
      </c>
    </row>
    <row r="165" spans="1:9" x14ac:dyDescent="0.25">
      <c r="A165" s="10"/>
      <c r="B165" s="11"/>
      <c r="C165" s="11"/>
      <c r="D165" s="175" t="s">
        <v>167</v>
      </c>
      <c r="E165" s="176">
        <v>1.8599999999999998E-2</v>
      </c>
      <c r="F165" s="177">
        <v>2.0500000000000001E-2</v>
      </c>
      <c r="G165" s="178">
        <v>2.3099999999999999E-2</v>
      </c>
      <c r="H165" s="43" t="s">
        <v>158</v>
      </c>
      <c r="I165" s="43" t="s">
        <v>159</v>
      </c>
    </row>
    <row r="166" spans="1:9" x14ac:dyDescent="0.25">
      <c r="A166" s="10"/>
      <c r="B166" s="11"/>
      <c r="C166" s="11"/>
      <c r="D166" s="175"/>
      <c r="E166" s="84"/>
      <c r="F166" s="85"/>
      <c r="G166" s="86"/>
      <c r="H166" s="120"/>
      <c r="I166" s="120"/>
    </row>
    <row r="167" spans="1:9" x14ac:dyDescent="0.25">
      <c r="A167" s="10"/>
      <c r="B167" s="11"/>
      <c r="C167" s="11"/>
      <c r="D167" s="174" t="s">
        <v>168</v>
      </c>
      <c r="E167" s="84"/>
      <c r="F167" s="85"/>
      <c r="G167" s="86"/>
      <c r="H167" s="120"/>
      <c r="I167" s="120"/>
    </row>
    <row r="168" spans="1:9" x14ac:dyDescent="0.25">
      <c r="A168" s="10"/>
      <c r="B168" s="11"/>
      <c r="C168" s="11"/>
      <c r="D168" s="175" t="s">
        <v>157</v>
      </c>
      <c r="E168" s="176">
        <v>3.3599999999999998E-2</v>
      </c>
      <c r="F168" s="177">
        <v>3.1699999999999999E-2</v>
      </c>
      <c r="G168" s="178">
        <v>3.5299999999999998E-2</v>
      </c>
      <c r="H168" s="43" t="s">
        <v>169</v>
      </c>
      <c r="I168" s="43" t="s">
        <v>159</v>
      </c>
    </row>
    <row r="169" spans="1:9" x14ac:dyDescent="0.25">
      <c r="A169" s="10"/>
      <c r="B169" s="11"/>
      <c r="C169" s="11"/>
      <c r="D169" s="175" t="s">
        <v>160</v>
      </c>
      <c r="E169" s="176">
        <v>2.3199999999999998E-2</v>
      </c>
      <c r="F169" s="177">
        <v>3.1300000000000001E-2</v>
      </c>
      <c r="G169" s="178">
        <v>3.4700000000000002E-2</v>
      </c>
      <c r="H169" s="43" t="s">
        <v>169</v>
      </c>
      <c r="I169" s="43" t="s">
        <v>159</v>
      </c>
    </row>
    <row r="170" spans="1:9" x14ac:dyDescent="0.25">
      <c r="A170" s="10"/>
      <c r="B170" s="11"/>
      <c r="C170" s="11"/>
      <c r="D170" s="179" t="s">
        <v>161</v>
      </c>
      <c r="E170" s="176">
        <v>2.3900000000000001E-2</v>
      </c>
      <c r="F170" s="177">
        <v>3.1E-2</v>
      </c>
      <c r="G170" s="178">
        <v>3.4000000000000002E-2</v>
      </c>
      <c r="H170" s="43" t="s">
        <v>169</v>
      </c>
      <c r="I170" s="43" t="s">
        <v>159</v>
      </c>
    </row>
    <row r="171" spans="1:9" x14ac:dyDescent="0.25">
      <c r="A171" s="10"/>
      <c r="B171" s="11"/>
      <c r="C171" s="11"/>
      <c r="D171" s="175" t="s">
        <v>162</v>
      </c>
      <c r="E171" s="176">
        <v>2.47E-2</v>
      </c>
      <c r="F171" s="177">
        <v>3.0099999999999998E-2</v>
      </c>
      <c r="G171" s="178">
        <v>3.2899999999999999E-2</v>
      </c>
      <c r="H171" s="43" t="s">
        <v>169</v>
      </c>
      <c r="I171" s="43" t="s">
        <v>159</v>
      </c>
    </row>
    <row r="172" spans="1:9" x14ac:dyDescent="0.25">
      <c r="A172" s="10"/>
      <c r="B172" s="11"/>
      <c r="C172" s="11"/>
      <c r="D172" s="175" t="s">
        <v>163</v>
      </c>
      <c r="E172" s="176">
        <v>2.4199999999999999E-2</v>
      </c>
      <c r="F172" s="177">
        <v>2.75E-2</v>
      </c>
      <c r="G172" s="178">
        <v>3.0099999999999998E-2</v>
      </c>
      <c r="H172" s="43" t="s">
        <v>169</v>
      </c>
      <c r="I172" s="43" t="s">
        <v>159</v>
      </c>
    </row>
    <row r="173" spans="1:9" x14ac:dyDescent="0.25">
      <c r="A173" s="10"/>
      <c r="B173" s="11"/>
      <c r="C173" s="11"/>
      <c r="D173" s="175" t="s">
        <v>164</v>
      </c>
      <c r="E173" s="176">
        <v>2.1899999999999999E-2</v>
      </c>
      <c r="F173" s="177">
        <v>2.2599999999999999E-2</v>
      </c>
      <c r="G173" s="178">
        <v>2.5000000000000001E-2</v>
      </c>
      <c r="H173" s="43" t="s">
        <v>169</v>
      </c>
      <c r="I173" s="43" t="s">
        <v>159</v>
      </c>
    </row>
    <row r="174" spans="1:9" x14ac:dyDescent="0.25">
      <c r="A174" s="10"/>
      <c r="B174" s="11"/>
      <c r="C174" s="11"/>
      <c r="D174" s="175" t="s">
        <v>165</v>
      </c>
      <c r="E174" s="180" t="s">
        <v>166</v>
      </c>
      <c r="F174" s="181" t="s">
        <v>166</v>
      </c>
      <c r="G174" s="182" t="s">
        <v>166</v>
      </c>
      <c r="H174" s="43" t="s">
        <v>169</v>
      </c>
      <c r="I174" s="43" t="s">
        <v>159</v>
      </c>
    </row>
    <row r="175" spans="1:9" x14ac:dyDescent="0.25">
      <c r="A175" s="10"/>
      <c r="B175" s="11"/>
      <c r="C175" s="11"/>
      <c r="D175" s="175" t="s">
        <v>167</v>
      </c>
      <c r="E175" s="176">
        <v>2.0500000000000001E-2</v>
      </c>
      <c r="F175" s="177">
        <v>2.1100000000000001E-2</v>
      </c>
      <c r="G175" s="178">
        <v>2.3400000000000001E-2</v>
      </c>
      <c r="H175" s="43" t="s">
        <v>169</v>
      </c>
      <c r="I175" s="43" t="s">
        <v>159</v>
      </c>
    </row>
    <row r="176" spans="1:9" x14ac:dyDescent="0.25">
      <c r="A176" s="10"/>
      <c r="B176" s="11"/>
      <c r="C176" s="11"/>
      <c r="D176" s="33"/>
      <c r="E176" s="183"/>
      <c r="F176" s="41"/>
      <c r="G176" s="42"/>
      <c r="H176" s="120"/>
      <c r="I176" s="120"/>
    </row>
    <row r="177" spans="1:9" x14ac:dyDescent="0.25">
      <c r="A177" s="10"/>
      <c r="B177" s="11"/>
      <c r="C177" s="11"/>
      <c r="D177" s="174" t="s">
        <v>170</v>
      </c>
      <c r="E177" s="183"/>
      <c r="F177" s="41"/>
      <c r="G177" s="42"/>
      <c r="H177" s="120"/>
      <c r="I177" s="120"/>
    </row>
    <row r="178" spans="1:9" x14ac:dyDescent="0.25">
      <c r="A178" s="10"/>
      <c r="B178" s="11"/>
      <c r="C178" s="11"/>
      <c r="D178" s="179" t="s">
        <v>171</v>
      </c>
      <c r="E178" s="184">
        <v>30</v>
      </c>
      <c r="F178" s="185">
        <v>30</v>
      </c>
      <c r="G178" s="186">
        <v>30</v>
      </c>
      <c r="H178" s="43" t="s">
        <v>158</v>
      </c>
      <c r="I178" s="43" t="s">
        <v>172</v>
      </c>
    </row>
    <row r="179" spans="1:9" x14ac:dyDescent="0.25">
      <c r="A179" s="10"/>
      <c r="B179" s="11"/>
      <c r="C179" s="11"/>
      <c r="D179" s="179" t="s">
        <v>173</v>
      </c>
      <c r="E179" s="187">
        <v>2.3E-2</v>
      </c>
      <c r="F179" s="188">
        <v>2.4E-2</v>
      </c>
      <c r="G179" s="189">
        <v>2.8000000000000001E-2</v>
      </c>
      <c r="H179" s="43" t="s">
        <v>158</v>
      </c>
      <c r="I179" s="43" t="s">
        <v>172</v>
      </c>
    </row>
    <row r="180" spans="1:9" x14ac:dyDescent="0.25">
      <c r="A180" s="10"/>
      <c r="B180" s="11"/>
      <c r="C180" s="11"/>
      <c r="D180" s="33"/>
      <c r="E180" s="40"/>
      <c r="F180" s="41"/>
      <c r="G180" s="42"/>
      <c r="H180" s="120"/>
      <c r="I180" s="120"/>
    </row>
    <row r="181" spans="1:9" x14ac:dyDescent="0.25">
      <c r="A181" s="10"/>
      <c r="B181" s="11"/>
      <c r="C181" s="11"/>
      <c r="D181" s="33"/>
      <c r="E181" s="40"/>
      <c r="F181" s="41"/>
      <c r="G181" s="42"/>
      <c r="H181" s="120"/>
      <c r="I181" s="120"/>
    </row>
    <row r="182" spans="1:9" s="44" customFormat="1" x14ac:dyDescent="0.25">
      <c r="A182" s="39"/>
      <c r="B182" s="32"/>
      <c r="C182" s="32"/>
      <c r="D182" s="110" t="s">
        <v>174</v>
      </c>
      <c r="E182" s="144">
        <f>534+18+15-865-162</f>
        <v>-460</v>
      </c>
      <c r="F182" s="145">
        <f>(513+44-7)-790-96</f>
        <v>-336</v>
      </c>
      <c r="G182" s="146">
        <f>(448+18-23)-693-145</f>
        <v>-395</v>
      </c>
      <c r="H182" s="114"/>
      <c r="I182" s="114" t="s">
        <v>175</v>
      </c>
    </row>
    <row r="183" spans="1:9" x14ac:dyDescent="0.25">
      <c r="A183" s="10"/>
      <c r="B183" s="11"/>
      <c r="C183" s="11"/>
      <c r="D183" s="190" t="s">
        <v>176</v>
      </c>
      <c r="E183" s="153">
        <v>344</v>
      </c>
      <c r="F183" s="154">
        <v>324</v>
      </c>
      <c r="G183" s="191">
        <v>275</v>
      </c>
      <c r="H183" s="88" t="s">
        <v>177</v>
      </c>
      <c r="I183" s="88" t="s">
        <v>178</v>
      </c>
    </row>
    <row r="184" spans="1:9" x14ac:dyDescent="0.25">
      <c r="A184" s="10"/>
      <c r="B184" s="11"/>
      <c r="C184" s="11"/>
      <c r="D184" s="190" t="s">
        <v>179</v>
      </c>
      <c r="E184" s="153">
        <v>-865</v>
      </c>
      <c r="F184" s="154">
        <v>-790</v>
      </c>
      <c r="G184" s="191">
        <v>-693</v>
      </c>
      <c r="H184" s="88" t="s">
        <v>180</v>
      </c>
      <c r="I184" s="88" t="s">
        <v>181</v>
      </c>
    </row>
    <row r="185" spans="1:9" s="44" customFormat="1" x14ac:dyDescent="0.25">
      <c r="A185" s="39"/>
      <c r="B185" s="32"/>
      <c r="C185" s="32"/>
      <c r="D185" s="190" t="s">
        <v>182</v>
      </c>
      <c r="E185" s="163">
        <v>15</v>
      </c>
      <c r="F185" s="164">
        <v>-7</v>
      </c>
      <c r="G185" s="165">
        <v>-23</v>
      </c>
      <c r="H185" s="88" t="s">
        <v>180</v>
      </c>
      <c r="I185" s="88" t="s">
        <v>181</v>
      </c>
    </row>
    <row r="186" spans="1:9" x14ac:dyDescent="0.25">
      <c r="A186" s="10"/>
      <c r="B186" s="11"/>
      <c r="C186" s="11"/>
      <c r="D186" s="190" t="s">
        <v>129</v>
      </c>
      <c r="E186" s="192">
        <f>-162+18+3+187</f>
        <v>46</v>
      </c>
      <c r="F186" s="193">
        <f>-96+44+3+186</f>
        <v>137</v>
      </c>
      <c r="G186" s="194">
        <f>-145+18+1+172</f>
        <v>46</v>
      </c>
      <c r="H186" s="88" t="s">
        <v>183</v>
      </c>
      <c r="I186" s="88" t="s">
        <v>184</v>
      </c>
    </row>
    <row r="187" spans="1:9" ht="15.75" thickBot="1" x14ac:dyDescent="0.3">
      <c r="A187" s="10"/>
      <c r="B187" s="11"/>
      <c r="C187" s="11"/>
      <c r="D187" s="190"/>
      <c r="E187" s="168">
        <f>SUM(E183:E186)</f>
        <v>-460</v>
      </c>
      <c r="F187" s="169">
        <f>SUM(F183:F186)</f>
        <v>-336</v>
      </c>
      <c r="G187" s="170">
        <f>SUM(G183:G186)</f>
        <v>-395</v>
      </c>
      <c r="H187" s="120"/>
      <c r="I187" s="120"/>
    </row>
    <row r="188" spans="1:9" ht="15.75" thickTop="1" x14ac:dyDescent="0.25">
      <c r="A188" s="10"/>
      <c r="B188" s="11"/>
      <c r="C188" s="11"/>
      <c r="D188" s="190"/>
      <c r="E188" s="71" t="b">
        <f>E182=E187</f>
        <v>1</v>
      </c>
      <c r="F188" s="72" t="b">
        <f>F182=F187</f>
        <v>1</v>
      </c>
      <c r="G188" s="73" t="b">
        <f>G182=G187</f>
        <v>1</v>
      </c>
      <c r="H188" s="195"/>
      <c r="I188" s="195"/>
    </row>
    <row r="189" spans="1:9" x14ac:dyDescent="0.25">
      <c r="A189" s="10"/>
      <c r="B189" s="11"/>
      <c r="C189" s="11"/>
      <c r="D189" s="190"/>
      <c r="E189" s="196"/>
      <c r="F189" s="197"/>
      <c r="G189" s="198"/>
      <c r="H189" s="120"/>
      <c r="I189" s="120"/>
    </row>
    <row r="190" spans="1:9" ht="15.75" thickBot="1" x14ac:dyDescent="0.3">
      <c r="A190" s="10"/>
      <c r="B190" s="11"/>
      <c r="C190" s="11"/>
      <c r="D190" s="199" t="s">
        <v>185</v>
      </c>
      <c r="E190" s="200">
        <v>1641</v>
      </c>
      <c r="F190" s="201">
        <v>954</v>
      </c>
      <c r="G190" s="202">
        <v>-1055</v>
      </c>
      <c r="H190" s="120"/>
      <c r="I190" s="120"/>
    </row>
    <row r="191" spans="1:9" ht="15.75" thickTop="1" x14ac:dyDescent="0.25">
      <c r="A191" s="10"/>
      <c r="B191" s="11"/>
      <c r="C191" s="11"/>
      <c r="D191" s="190"/>
      <c r="E191" s="71" t="b">
        <f>E190-SUM(E85,E124,E126,E182)=0</f>
        <v>1</v>
      </c>
      <c r="F191" s="72" t="b">
        <f>F190-SUM(F85,F124,F126,F182)=0</f>
        <v>1</v>
      </c>
      <c r="G191" s="73" t="b">
        <f>G190-SUM(G85,G124,G126,G182)=0</f>
        <v>1</v>
      </c>
      <c r="H191" s="120"/>
      <c r="I191" s="120"/>
    </row>
    <row r="192" spans="1:9" x14ac:dyDescent="0.25">
      <c r="A192" s="10"/>
      <c r="B192" s="11"/>
      <c r="C192" s="11"/>
      <c r="D192" s="203"/>
      <c r="E192" s="84"/>
      <c r="F192" s="85"/>
      <c r="G192" s="86"/>
      <c r="H192" s="120"/>
      <c r="I192" s="120"/>
    </row>
    <row r="193" spans="1:9" x14ac:dyDescent="0.25">
      <c r="A193" s="10"/>
      <c r="B193" s="25" t="s">
        <v>186</v>
      </c>
      <c r="C193" s="26"/>
      <c r="D193" s="27"/>
      <c r="E193" s="28"/>
      <c r="F193" s="29"/>
      <c r="G193" s="30"/>
      <c r="H193" s="31"/>
      <c r="I193" s="31"/>
    </row>
    <row r="194" spans="1:9" x14ac:dyDescent="0.25">
      <c r="A194" s="10"/>
      <c r="B194" s="204" t="s">
        <v>187</v>
      </c>
      <c r="C194" s="204"/>
      <c r="D194" s="205"/>
      <c r="E194" s="206"/>
      <c r="F194" s="207"/>
      <c r="G194" s="208"/>
      <c r="H194" s="209"/>
      <c r="I194" s="209"/>
    </row>
    <row r="195" spans="1:9" x14ac:dyDescent="0.25">
      <c r="A195" s="10"/>
      <c r="B195" s="11"/>
      <c r="C195" s="104" t="s">
        <v>188</v>
      </c>
      <c r="D195" s="105"/>
      <c r="E195" s="106"/>
      <c r="F195" s="107"/>
      <c r="G195" s="108"/>
      <c r="H195" s="109"/>
      <c r="I195" s="109"/>
    </row>
    <row r="196" spans="1:9" x14ac:dyDescent="0.25">
      <c r="A196" s="39"/>
      <c r="B196" s="32"/>
      <c r="C196" s="32"/>
      <c r="D196" s="210" t="s">
        <v>189</v>
      </c>
      <c r="E196" s="211">
        <f>+SUM(E210:E212)</f>
        <v>1243</v>
      </c>
      <c r="F196" s="212">
        <f>+SUM(F210:F212)</f>
        <v>1246</v>
      </c>
      <c r="G196" s="213">
        <f>126+1397+16</f>
        <v>1539</v>
      </c>
      <c r="H196" s="43" t="s">
        <v>190</v>
      </c>
      <c r="I196" s="43" t="s">
        <v>191</v>
      </c>
    </row>
    <row r="197" spans="1:9" x14ac:dyDescent="0.25">
      <c r="A197" s="10"/>
      <c r="B197" s="11"/>
      <c r="C197" s="11"/>
      <c r="D197" s="190" t="s">
        <v>192</v>
      </c>
      <c r="E197" s="214">
        <f>+SUM(E214:E216)</f>
        <v>21</v>
      </c>
      <c r="F197" s="215">
        <f>+SUM(F214:F216)</f>
        <v>23</v>
      </c>
      <c r="G197" s="216">
        <v>17</v>
      </c>
      <c r="H197" s="43" t="s">
        <v>193</v>
      </c>
      <c r="I197" s="43" t="s">
        <v>47</v>
      </c>
    </row>
    <row r="198" spans="1:9" x14ac:dyDescent="0.25">
      <c r="A198" s="10"/>
      <c r="B198" s="11"/>
      <c r="C198" s="11"/>
      <c r="D198" s="190" t="s">
        <v>194</v>
      </c>
      <c r="E198" s="214">
        <f>+SUM(E218:E220)</f>
        <v>0</v>
      </c>
      <c r="F198" s="215">
        <f>+SUM(F218:F220)</f>
        <v>0</v>
      </c>
      <c r="G198" s="216">
        <v>0</v>
      </c>
      <c r="H198" s="43"/>
      <c r="I198" s="43" t="s">
        <v>47</v>
      </c>
    </row>
    <row r="199" spans="1:9" x14ac:dyDescent="0.25">
      <c r="A199" s="10"/>
      <c r="B199" s="11"/>
      <c r="C199" s="11"/>
      <c r="D199" s="190" t="s">
        <v>195</v>
      </c>
      <c r="E199" s="214">
        <f>+SUM(E222:E224)</f>
        <v>6</v>
      </c>
      <c r="F199" s="215">
        <f>+SUM(F222:F224)</f>
        <v>6</v>
      </c>
      <c r="G199" s="216">
        <v>31</v>
      </c>
      <c r="H199" s="43" t="s">
        <v>196</v>
      </c>
      <c r="I199" s="43" t="s">
        <v>47</v>
      </c>
    </row>
    <row r="200" spans="1:9" x14ac:dyDescent="0.25">
      <c r="A200" s="10"/>
      <c r="B200" s="11"/>
      <c r="C200" s="11"/>
      <c r="D200" s="190" t="s">
        <v>197</v>
      </c>
      <c r="E200" s="214">
        <f>+SUM(E226:E228)+SUM(E230:E232)</f>
        <v>-44</v>
      </c>
      <c r="F200" s="215">
        <f>+SUM(F226:F228)+SUM(F230:F232)</f>
        <v>49</v>
      </c>
      <c r="G200" s="216">
        <f>19-283-7</f>
        <v>-271</v>
      </c>
      <c r="H200" s="43" t="s">
        <v>193</v>
      </c>
      <c r="I200" s="43" t="s">
        <v>47</v>
      </c>
    </row>
    <row r="201" spans="1:9" x14ac:dyDescent="0.25">
      <c r="A201" s="10"/>
      <c r="B201" s="11"/>
      <c r="C201" s="11"/>
      <c r="D201" s="190" t="s">
        <v>198</v>
      </c>
      <c r="E201" s="214">
        <f>+SUM(E234:E236)</f>
        <v>-72</v>
      </c>
      <c r="F201" s="215">
        <f>+SUM(F234:F236)</f>
        <v>-81</v>
      </c>
      <c r="G201" s="216">
        <f>-14-57-1</f>
        <v>-72</v>
      </c>
      <c r="H201" s="43" t="s">
        <v>199</v>
      </c>
      <c r="I201" s="43" t="s">
        <v>200</v>
      </c>
    </row>
    <row r="202" spans="1:9" x14ac:dyDescent="0.25">
      <c r="A202" s="10"/>
      <c r="B202" s="11"/>
      <c r="C202" s="11"/>
      <c r="D202" s="190" t="s">
        <v>201</v>
      </c>
      <c r="E202" s="214">
        <f>+SUM(E238:E240)</f>
        <v>0</v>
      </c>
      <c r="F202" s="215">
        <f>+SUM(F238:F240)</f>
        <v>0</v>
      </c>
      <c r="G202" s="216">
        <v>0</v>
      </c>
      <c r="H202" s="43"/>
      <c r="I202" s="43" t="s">
        <v>47</v>
      </c>
    </row>
    <row r="203" spans="1:9" x14ac:dyDescent="0.25">
      <c r="A203" s="10"/>
      <c r="B203" s="11"/>
      <c r="C203" s="11"/>
      <c r="D203" s="190" t="s">
        <v>202</v>
      </c>
      <c r="E203" s="214">
        <f>+SUM(E242:E244)</f>
        <v>-4</v>
      </c>
      <c r="F203" s="215">
        <f>+SUM(F242:F244)</f>
        <v>-1</v>
      </c>
      <c r="G203" s="216">
        <v>2</v>
      </c>
      <c r="H203" s="43" t="s">
        <v>193</v>
      </c>
      <c r="I203" s="43" t="s">
        <v>203</v>
      </c>
    </row>
    <row r="204" spans="1:9" ht="15.75" thickBot="1" x14ac:dyDescent="0.3">
      <c r="A204" s="39"/>
      <c r="B204" s="32"/>
      <c r="C204" s="32"/>
      <c r="D204" s="210" t="s">
        <v>204</v>
      </c>
      <c r="E204" s="217">
        <f>+SUM(E246:E248)</f>
        <v>1150</v>
      </c>
      <c r="F204" s="218">
        <f>+SUM(F246:F248)</f>
        <v>1242</v>
      </c>
      <c r="G204" s="219">
        <f>131+1100+15</f>
        <v>1246</v>
      </c>
      <c r="H204" s="43" t="s">
        <v>193</v>
      </c>
      <c r="I204" s="43" t="s">
        <v>191</v>
      </c>
    </row>
    <row r="205" spans="1:9" ht="15.75" thickTop="1" x14ac:dyDescent="0.25">
      <c r="A205" s="39"/>
      <c r="B205" s="32"/>
      <c r="C205" s="32"/>
      <c r="D205" s="220"/>
      <c r="E205" s="84" t="b">
        <f>SUM(E196:E203)=E204</f>
        <v>1</v>
      </c>
      <c r="F205" s="85" t="b">
        <f>SUM(F196:F203)=F204</f>
        <v>1</v>
      </c>
      <c r="G205" s="86" t="b">
        <f>SUM(G196:G203)=G204</f>
        <v>1</v>
      </c>
      <c r="H205" s="120"/>
      <c r="I205" s="120"/>
    </row>
    <row r="206" spans="1:9" x14ac:dyDescent="0.25">
      <c r="A206" s="39"/>
      <c r="B206" s="32"/>
      <c r="C206" s="32"/>
      <c r="D206" s="210"/>
      <c r="E206" s="221" t="str">
        <f>IF(ABS(E201-E86&lt;=1),"TRUE","FALSE")</f>
        <v>TRUE</v>
      </c>
      <c r="F206" s="85" t="str">
        <f>IF(ABS(F201-F86&lt;=1),"TRUE","FALSE")</f>
        <v>TRUE</v>
      </c>
      <c r="G206" s="221" t="str">
        <f>IF(ABS(G201-G86&lt;=1),"TRUE","FALSE")</f>
        <v>TRUE</v>
      </c>
      <c r="H206" s="222"/>
      <c r="I206" s="222"/>
    </row>
    <row r="207" spans="1:9" x14ac:dyDescent="0.25">
      <c r="A207" s="39"/>
      <c r="B207" s="32"/>
      <c r="C207" s="32"/>
      <c r="D207" s="210"/>
      <c r="E207" s="221" t="str">
        <f>IF(ABS(E204-E30&lt;=1),"TRUE","FALSE")</f>
        <v>TRUE</v>
      </c>
      <c r="F207" s="85" t="str">
        <f>IF(ABS(F204-F30&lt;=1),"TRUE","FALSE")</f>
        <v>TRUE</v>
      </c>
      <c r="G207" s="221" t="str">
        <f>IF(ABS(G204-G30&lt;=1),"TRUE","FALSE")</f>
        <v>TRUE</v>
      </c>
      <c r="H207" s="222"/>
      <c r="I207" s="120"/>
    </row>
    <row r="208" spans="1:9" x14ac:dyDescent="0.25">
      <c r="A208" s="39"/>
      <c r="B208" s="32"/>
      <c r="C208" s="32"/>
      <c r="D208" s="210"/>
      <c r="E208" s="84"/>
      <c r="F208" s="85"/>
      <c r="G208" s="86"/>
      <c r="H208" s="120"/>
      <c r="I208" s="120"/>
    </row>
    <row r="209" spans="1:9" hidden="1" outlineLevel="1" x14ac:dyDescent="0.25">
      <c r="A209" s="39"/>
      <c r="B209" s="32"/>
      <c r="C209" s="223" t="s">
        <v>205</v>
      </c>
      <c r="D209" s="224"/>
      <c r="E209" s="225"/>
      <c r="F209" s="226"/>
      <c r="G209" s="227"/>
      <c r="H209" s="228"/>
      <c r="I209" s="228"/>
    </row>
    <row r="210" spans="1:9" hidden="1" outlineLevel="1" x14ac:dyDescent="0.25">
      <c r="A210" s="39"/>
      <c r="B210" s="32"/>
      <c r="C210" s="32"/>
      <c r="D210" s="229" t="s">
        <v>206</v>
      </c>
      <c r="E210" s="230">
        <f>F246</f>
        <v>153</v>
      </c>
      <c r="F210" s="231">
        <f>G246</f>
        <v>131</v>
      </c>
      <c r="G210" s="232">
        <v>126</v>
      </c>
      <c r="H210" s="233" t="s">
        <v>207</v>
      </c>
      <c r="I210" s="48" t="s">
        <v>208</v>
      </c>
    </row>
    <row r="211" spans="1:9" hidden="1" outlineLevel="1" x14ac:dyDescent="0.25">
      <c r="A211" s="39"/>
      <c r="B211" s="32"/>
      <c r="C211" s="32"/>
      <c r="D211" s="229" t="s">
        <v>209</v>
      </c>
      <c r="E211" s="230">
        <f>F247</f>
        <v>1076</v>
      </c>
      <c r="F211" s="231">
        <f>G247</f>
        <v>1100</v>
      </c>
      <c r="G211" s="232">
        <v>1397</v>
      </c>
      <c r="H211" s="233" t="s">
        <v>210</v>
      </c>
      <c r="I211" s="48" t="s">
        <v>211</v>
      </c>
    </row>
    <row r="212" spans="1:9" hidden="1" outlineLevel="1" x14ac:dyDescent="0.25">
      <c r="A212" s="39"/>
      <c r="B212" s="32"/>
      <c r="C212" s="32"/>
      <c r="D212" s="229" t="s">
        <v>212</v>
      </c>
      <c r="E212" s="230">
        <v>14</v>
      </c>
      <c r="F212" s="231">
        <f>+G248</f>
        <v>15</v>
      </c>
      <c r="G212" s="232">
        <v>15</v>
      </c>
      <c r="H212" s="48"/>
      <c r="I212" s="48" t="s">
        <v>213</v>
      </c>
    </row>
    <row r="213" spans="1:9" hidden="1" outlineLevel="1" x14ac:dyDescent="0.25">
      <c r="A213" s="39"/>
      <c r="B213" s="32"/>
      <c r="C213" s="32"/>
      <c r="D213" s="229"/>
      <c r="E213" s="230"/>
      <c r="F213" s="231"/>
      <c r="G213" s="232"/>
      <c r="H213" s="48"/>
      <c r="I213" s="48"/>
    </row>
    <row r="214" spans="1:9" hidden="1" outlineLevel="1" x14ac:dyDescent="0.25">
      <c r="A214" s="39"/>
      <c r="B214" s="32"/>
      <c r="C214" s="11"/>
      <c r="D214" s="234" t="s">
        <v>214</v>
      </c>
      <c r="E214" s="235">
        <v>7</v>
      </c>
      <c r="F214" s="236">
        <v>11</v>
      </c>
      <c r="G214" s="237">
        <v>0</v>
      </c>
      <c r="H214" s="233" t="s">
        <v>207</v>
      </c>
      <c r="I214" s="48" t="s">
        <v>208</v>
      </c>
    </row>
    <row r="215" spans="1:9" hidden="1" outlineLevel="1" x14ac:dyDescent="0.25">
      <c r="A215" s="39"/>
      <c r="B215" s="32"/>
      <c r="C215" s="11"/>
      <c r="D215" s="234" t="s">
        <v>215</v>
      </c>
      <c r="E215" s="235">
        <v>14</v>
      </c>
      <c r="F215" s="236">
        <v>12</v>
      </c>
      <c r="G215" s="237">
        <v>17</v>
      </c>
      <c r="H215" s="233" t="s">
        <v>210</v>
      </c>
      <c r="I215" s="48" t="s">
        <v>211</v>
      </c>
    </row>
    <row r="216" spans="1:9" hidden="1" outlineLevel="1" x14ac:dyDescent="0.25">
      <c r="A216" s="39"/>
      <c r="B216" s="32"/>
      <c r="C216" s="11"/>
      <c r="D216" s="234" t="s">
        <v>216</v>
      </c>
      <c r="E216" s="235">
        <v>0</v>
      </c>
      <c r="F216" s="236">
        <v>0</v>
      </c>
      <c r="G216" s="237">
        <v>0</v>
      </c>
      <c r="H216" s="48"/>
      <c r="I216" s="48" t="s">
        <v>217</v>
      </c>
    </row>
    <row r="217" spans="1:9" hidden="1" outlineLevel="1" x14ac:dyDescent="0.25">
      <c r="A217" s="39"/>
      <c r="B217" s="32"/>
      <c r="C217" s="11"/>
      <c r="D217" s="234"/>
      <c r="E217" s="235"/>
      <c r="F217" s="236"/>
      <c r="G217" s="237"/>
      <c r="H217" s="48"/>
      <c r="I217" s="48"/>
    </row>
    <row r="218" spans="1:9" hidden="1" outlineLevel="1" x14ac:dyDescent="0.25">
      <c r="A218" s="39"/>
      <c r="B218" s="32"/>
      <c r="C218" s="11"/>
      <c r="D218" s="234" t="s">
        <v>218</v>
      </c>
      <c r="E218" s="235">
        <v>0</v>
      </c>
      <c r="F218" s="236">
        <v>0</v>
      </c>
      <c r="G218" s="237">
        <v>0</v>
      </c>
      <c r="H218" s="233" t="s">
        <v>207</v>
      </c>
      <c r="I218" s="48" t="s">
        <v>208</v>
      </c>
    </row>
    <row r="219" spans="1:9" hidden="1" outlineLevel="1" x14ac:dyDescent="0.25">
      <c r="A219" s="39"/>
      <c r="B219" s="32"/>
      <c r="C219" s="11"/>
      <c r="D219" s="234" t="s">
        <v>219</v>
      </c>
      <c r="E219" s="235">
        <v>0</v>
      </c>
      <c r="F219" s="236">
        <v>0</v>
      </c>
      <c r="G219" s="237">
        <v>0</v>
      </c>
      <c r="H219" s="233" t="s">
        <v>210</v>
      </c>
      <c r="I219" s="48" t="s">
        <v>211</v>
      </c>
    </row>
    <row r="220" spans="1:9" hidden="1" outlineLevel="1" x14ac:dyDescent="0.25">
      <c r="A220" s="39"/>
      <c r="B220" s="32"/>
      <c r="C220" s="11"/>
      <c r="D220" s="234" t="s">
        <v>220</v>
      </c>
      <c r="E220" s="235">
        <v>0</v>
      </c>
      <c r="F220" s="236">
        <v>0</v>
      </c>
      <c r="G220" s="237">
        <v>0</v>
      </c>
      <c r="H220" s="48"/>
      <c r="I220" s="48" t="s">
        <v>217</v>
      </c>
    </row>
    <row r="221" spans="1:9" hidden="1" outlineLevel="1" x14ac:dyDescent="0.25">
      <c r="A221" s="39"/>
      <c r="B221" s="32"/>
      <c r="C221" s="11"/>
      <c r="D221" s="234"/>
      <c r="E221" s="235"/>
      <c r="F221" s="236"/>
      <c r="G221" s="237"/>
      <c r="H221" s="48"/>
      <c r="I221" s="48"/>
    </row>
    <row r="222" spans="1:9" hidden="1" outlineLevel="1" x14ac:dyDescent="0.25">
      <c r="A222" s="39"/>
      <c r="B222" s="32"/>
      <c r="C222" s="11"/>
      <c r="D222" s="234" t="s">
        <v>221</v>
      </c>
      <c r="E222" s="235">
        <v>0</v>
      </c>
      <c r="F222" s="236">
        <v>0</v>
      </c>
      <c r="G222" s="237">
        <v>0</v>
      </c>
      <c r="H222" s="233" t="s">
        <v>207</v>
      </c>
      <c r="I222" s="48" t="s">
        <v>208</v>
      </c>
    </row>
    <row r="223" spans="1:9" hidden="1" outlineLevel="1" x14ac:dyDescent="0.25">
      <c r="A223" s="39"/>
      <c r="B223" s="32"/>
      <c r="C223" s="11"/>
      <c r="D223" s="234" t="s">
        <v>222</v>
      </c>
      <c r="E223" s="235">
        <v>6</v>
      </c>
      <c r="F223" s="236">
        <v>6</v>
      </c>
      <c r="G223" s="237">
        <v>31</v>
      </c>
      <c r="H223" s="233" t="s">
        <v>210</v>
      </c>
      <c r="I223" s="48" t="s">
        <v>211</v>
      </c>
    </row>
    <row r="224" spans="1:9" hidden="1" outlineLevel="1" x14ac:dyDescent="0.25">
      <c r="A224" s="39"/>
      <c r="B224" s="32"/>
      <c r="C224" s="11"/>
      <c r="D224" s="234" t="s">
        <v>223</v>
      </c>
      <c r="E224" s="235">
        <v>0</v>
      </c>
      <c r="F224" s="236">
        <v>0</v>
      </c>
      <c r="G224" s="237">
        <v>0</v>
      </c>
      <c r="H224" s="48"/>
      <c r="I224" s="48" t="s">
        <v>217</v>
      </c>
    </row>
    <row r="225" spans="1:9" hidden="1" outlineLevel="1" x14ac:dyDescent="0.25">
      <c r="A225" s="39"/>
      <c r="B225" s="32"/>
      <c r="C225" s="11"/>
      <c r="D225" s="234"/>
      <c r="E225" s="235"/>
      <c r="F225" s="236"/>
      <c r="G225" s="237"/>
      <c r="H225" s="48"/>
      <c r="I225" s="48"/>
    </row>
    <row r="226" spans="1:9" hidden="1" outlineLevel="1" x14ac:dyDescent="0.25">
      <c r="A226" s="39"/>
      <c r="B226" s="32"/>
      <c r="C226" s="11"/>
      <c r="D226" s="234" t="s">
        <v>224</v>
      </c>
      <c r="E226" s="235">
        <v>-39</v>
      </c>
      <c r="F226" s="236">
        <v>29</v>
      </c>
      <c r="G226" s="237">
        <v>19</v>
      </c>
      <c r="H226" s="233" t="s">
        <v>207</v>
      </c>
      <c r="I226" s="48" t="s">
        <v>208</v>
      </c>
    </row>
    <row r="227" spans="1:9" hidden="1" outlineLevel="1" x14ac:dyDescent="0.25">
      <c r="A227" s="39"/>
      <c r="B227" s="32"/>
      <c r="C227" s="11"/>
      <c r="D227" s="234" t="s">
        <v>225</v>
      </c>
      <c r="E227" s="235">
        <v>2</v>
      </c>
      <c r="F227" s="236">
        <v>28</v>
      </c>
      <c r="G227" s="237">
        <v>-283</v>
      </c>
      <c r="H227" s="233" t="s">
        <v>210</v>
      </c>
      <c r="I227" s="48" t="s">
        <v>211</v>
      </c>
    </row>
    <row r="228" spans="1:9" hidden="1" outlineLevel="1" x14ac:dyDescent="0.25">
      <c r="A228" s="39"/>
      <c r="B228" s="32"/>
      <c r="C228" s="11"/>
      <c r="D228" s="234" t="s">
        <v>226</v>
      </c>
      <c r="E228" s="235">
        <v>0</v>
      </c>
      <c r="F228" s="236">
        <v>0</v>
      </c>
      <c r="G228" s="237">
        <v>0</v>
      </c>
      <c r="H228" s="48"/>
      <c r="I228" s="48" t="s">
        <v>217</v>
      </c>
    </row>
    <row r="229" spans="1:9" hidden="1" outlineLevel="1" x14ac:dyDescent="0.25">
      <c r="A229" s="39"/>
      <c r="B229" s="32"/>
      <c r="C229" s="11"/>
      <c r="D229" s="234"/>
      <c r="E229" s="235"/>
      <c r="F229" s="236"/>
      <c r="G229" s="237"/>
      <c r="H229" s="48"/>
      <c r="I229" s="48"/>
    </row>
    <row r="230" spans="1:9" hidden="1" outlineLevel="1" x14ac:dyDescent="0.25">
      <c r="A230" s="39"/>
      <c r="B230" s="32"/>
      <c r="C230" s="11"/>
      <c r="D230" s="234" t="s">
        <v>227</v>
      </c>
      <c r="E230" s="235">
        <v>0</v>
      </c>
      <c r="F230" s="236">
        <v>0</v>
      </c>
      <c r="G230" s="237">
        <v>0</v>
      </c>
      <c r="H230" s="233" t="s">
        <v>207</v>
      </c>
      <c r="I230" s="48" t="s">
        <v>208</v>
      </c>
    </row>
    <row r="231" spans="1:9" hidden="1" outlineLevel="1" x14ac:dyDescent="0.25">
      <c r="A231" s="39"/>
      <c r="B231" s="32"/>
      <c r="C231" s="11"/>
      <c r="D231" s="234" t="s">
        <v>228</v>
      </c>
      <c r="E231" s="235">
        <v>-7</v>
      </c>
      <c r="F231" s="236">
        <v>-8</v>
      </c>
      <c r="G231" s="237">
        <v>-7</v>
      </c>
      <c r="H231" s="233" t="s">
        <v>210</v>
      </c>
      <c r="I231" s="48" t="s">
        <v>211</v>
      </c>
    </row>
    <row r="232" spans="1:9" hidden="1" outlineLevel="1" x14ac:dyDescent="0.25">
      <c r="A232" s="39"/>
      <c r="B232" s="32"/>
      <c r="C232" s="11"/>
      <c r="D232" s="234" t="s">
        <v>229</v>
      </c>
      <c r="E232" s="235">
        <v>0</v>
      </c>
      <c r="F232" s="236">
        <v>0</v>
      </c>
      <c r="G232" s="237">
        <v>0</v>
      </c>
      <c r="H232" s="48"/>
      <c r="I232" s="48" t="s">
        <v>217</v>
      </c>
    </row>
    <row r="233" spans="1:9" hidden="1" outlineLevel="1" x14ac:dyDescent="0.25">
      <c r="A233" s="39"/>
      <c r="B233" s="32"/>
      <c r="C233" s="11"/>
      <c r="D233" s="234"/>
      <c r="E233" s="235"/>
      <c r="F233" s="236"/>
      <c r="G233" s="237"/>
      <c r="H233" s="48"/>
      <c r="I233" s="48"/>
    </row>
    <row r="234" spans="1:9" hidden="1" outlineLevel="1" x14ac:dyDescent="0.25">
      <c r="A234" s="39"/>
      <c r="B234" s="32"/>
      <c r="C234" s="11"/>
      <c r="D234" s="234" t="s">
        <v>230</v>
      </c>
      <c r="E234" s="235">
        <v>-13</v>
      </c>
      <c r="F234" s="236">
        <v>-18</v>
      </c>
      <c r="G234" s="237">
        <v>-14</v>
      </c>
      <c r="H234" s="233" t="s">
        <v>207</v>
      </c>
      <c r="I234" s="48" t="s">
        <v>208</v>
      </c>
    </row>
    <row r="235" spans="1:9" hidden="1" outlineLevel="1" x14ac:dyDescent="0.25">
      <c r="A235" s="39"/>
      <c r="B235" s="32"/>
      <c r="C235" s="11"/>
      <c r="D235" s="234" t="s">
        <v>231</v>
      </c>
      <c r="E235" s="235">
        <v>-58</v>
      </c>
      <c r="F235" s="236">
        <v>-61</v>
      </c>
      <c r="G235" s="237">
        <v>-55</v>
      </c>
      <c r="H235" s="233" t="s">
        <v>210</v>
      </c>
      <c r="I235" s="48" t="s">
        <v>211</v>
      </c>
    </row>
    <row r="236" spans="1:9" hidden="1" outlineLevel="1" x14ac:dyDescent="0.25">
      <c r="A236" s="39"/>
      <c r="B236" s="32"/>
      <c r="C236" s="11"/>
      <c r="D236" s="234" t="s">
        <v>232</v>
      </c>
      <c r="E236" s="235">
        <v>-1</v>
      </c>
      <c r="F236" s="236">
        <v>-2</v>
      </c>
      <c r="G236" s="237">
        <v>0</v>
      </c>
      <c r="H236" s="48" t="s">
        <v>199</v>
      </c>
      <c r="I236" s="48" t="s">
        <v>217</v>
      </c>
    </row>
    <row r="237" spans="1:9" hidden="1" outlineLevel="1" x14ac:dyDescent="0.25">
      <c r="A237" s="39"/>
      <c r="B237" s="32"/>
      <c r="C237" s="11"/>
      <c r="D237" s="234"/>
      <c r="E237" s="235"/>
      <c r="F237" s="236"/>
      <c r="G237" s="237"/>
      <c r="H237" s="48"/>
      <c r="I237" s="48"/>
    </row>
    <row r="238" spans="1:9" hidden="1" outlineLevel="1" x14ac:dyDescent="0.25">
      <c r="A238" s="39"/>
      <c r="B238" s="32"/>
      <c r="C238" s="11"/>
      <c r="D238" s="234" t="s">
        <v>233</v>
      </c>
      <c r="E238" s="235">
        <v>0</v>
      </c>
      <c r="F238" s="236">
        <v>0</v>
      </c>
      <c r="G238" s="237">
        <v>0</v>
      </c>
      <c r="H238" s="233" t="s">
        <v>207</v>
      </c>
      <c r="I238" s="48" t="s">
        <v>208</v>
      </c>
    </row>
    <row r="239" spans="1:9" hidden="1" outlineLevel="1" x14ac:dyDescent="0.25">
      <c r="A239" s="39"/>
      <c r="B239" s="32"/>
      <c r="C239" s="11"/>
      <c r="D239" s="234" t="s">
        <v>234</v>
      </c>
      <c r="E239" s="235">
        <v>0</v>
      </c>
      <c r="F239" s="236">
        <v>0</v>
      </c>
      <c r="G239" s="237">
        <v>0</v>
      </c>
      <c r="H239" s="233" t="s">
        <v>210</v>
      </c>
      <c r="I239" s="48" t="s">
        <v>211</v>
      </c>
    </row>
    <row r="240" spans="1:9" hidden="1" outlineLevel="1" x14ac:dyDescent="0.25">
      <c r="A240" s="39"/>
      <c r="B240" s="32"/>
      <c r="C240" s="11"/>
      <c r="D240" s="234" t="s">
        <v>235</v>
      </c>
      <c r="E240" s="235">
        <v>0</v>
      </c>
      <c r="F240" s="236">
        <v>0</v>
      </c>
      <c r="G240" s="237">
        <v>0</v>
      </c>
      <c r="H240" s="48"/>
      <c r="I240" s="48" t="s">
        <v>217</v>
      </c>
    </row>
    <row r="241" spans="1:9" hidden="1" outlineLevel="1" x14ac:dyDescent="0.25">
      <c r="A241" s="39"/>
      <c r="B241" s="32"/>
      <c r="C241" s="11"/>
      <c r="D241" s="234"/>
      <c r="E241" s="235"/>
      <c r="F241" s="236"/>
      <c r="G241" s="237"/>
      <c r="H241" s="48"/>
      <c r="I241" s="48"/>
    </row>
    <row r="242" spans="1:9" hidden="1" outlineLevel="1" x14ac:dyDescent="0.25">
      <c r="A242" s="39"/>
      <c r="B242" s="32"/>
      <c r="C242" s="11"/>
      <c r="D242" s="234" t="s">
        <v>236</v>
      </c>
      <c r="E242" s="235">
        <v>0</v>
      </c>
      <c r="F242" s="236">
        <v>0</v>
      </c>
      <c r="G242" s="237">
        <v>0</v>
      </c>
      <c r="H242" s="233" t="s">
        <v>207</v>
      </c>
      <c r="I242" s="48" t="s">
        <v>208</v>
      </c>
    </row>
    <row r="243" spans="1:9" hidden="1" outlineLevel="1" x14ac:dyDescent="0.25">
      <c r="A243" s="39"/>
      <c r="B243" s="32"/>
      <c r="C243" s="11"/>
      <c r="D243" s="234" t="s">
        <v>237</v>
      </c>
      <c r="E243" s="235">
        <v>-1</v>
      </c>
      <c r="F243" s="236">
        <v>-1</v>
      </c>
      <c r="G243" s="237">
        <v>0</v>
      </c>
      <c r="H243" s="233" t="s">
        <v>210</v>
      </c>
      <c r="I243" s="48" t="s">
        <v>211</v>
      </c>
    </row>
    <row r="244" spans="1:9" hidden="1" outlineLevel="1" x14ac:dyDescent="0.25">
      <c r="A244" s="39"/>
      <c r="B244" s="32"/>
      <c r="C244" s="11"/>
      <c r="D244" s="234" t="s">
        <v>238</v>
      </c>
      <c r="E244" s="235">
        <v>-3</v>
      </c>
      <c r="F244" s="236">
        <v>0</v>
      </c>
      <c r="G244" s="237">
        <v>0</v>
      </c>
      <c r="H244" s="48" t="s">
        <v>199</v>
      </c>
      <c r="I244" s="48" t="s">
        <v>217</v>
      </c>
    </row>
    <row r="245" spans="1:9" hidden="1" outlineLevel="1" x14ac:dyDescent="0.25">
      <c r="A245" s="39"/>
      <c r="B245" s="32"/>
      <c r="C245" s="11"/>
      <c r="D245" s="234"/>
      <c r="E245" s="235"/>
      <c r="F245" s="236"/>
      <c r="G245" s="237"/>
      <c r="H245" s="48"/>
      <c r="I245" s="48"/>
    </row>
    <row r="246" spans="1:9" ht="15.75" hidden="1" outlineLevel="1" thickBot="1" x14ac:dyDescent="0.3">
      <c r="A246" s="39"/>
      <c r="B246" s="32"/>
      <c r="C246" s="238"/>
      <c r="D246" s="229" t="s">
        <v>239</v>
      </c>
      <c r="E246" s="239">
        <f>SUM(E242,E238,E234,E226,E222,E218,E214,E210,E230)</f>
        <v>108</v>
      </c>
      <c r="F246" s="240">
        <f>SUM(F242,F238,F234,F226,F222,F218,F214,F210,F230)</f>
        <v>153</v>
      </c>
      <c r="G246" s="241">
        <f>SUM(G210,G214,G218,G222,G226,G234,G238,G242,G230)</f>
        <v>131</v>
      </c>
      <c r="H246" s="242"/>
      <c r="I246" s="242"/>
    </row>
    <row r="247" spans="1:9" ht="15.75" hidden="1" outlineLevel="1" thickBot="1" x14ac:dyDescent="0.3">
      <c r="A247" s="39"/>
      <c r="B247" s="32"/>
      <c r="C247" s="32"/>
      <c r="D247" s="229" t="s">
        <v>240</v>
      </c>
      <c r="E247" s="239">
        <f>SUM(E243,E239,E235,E227,E223,E219,E215,E211,E231)</f>
        <v>1032</v>
      </c>
      <c r="F247" s="240">
        <f>SUM(F243,F239,F235,F227,F223,F219,F215,F211,F231)</f>
        <v>1076</v>
      </c>
      <c r="G247" s="241">
        <f>SUM(G211,G215,G219,G223,G227,G235,G239,G243,G231)</f>
        <v>1100</v>
      </c>
      <c r="H247" s="242" t="s">
        <v>241</v>
      </c>
      <c r="I247" s="242"/>
    </row>
    <row r="248" spans="1:9" ht="15.75" hidden="1" outlineLevel="1" thickBot="1" x14ac:dyDescent="0.3">
      <c r="A248" s="39"/>
      <c r="B248" s="32"/>
      <c r="C248" s="32"/>
      <c r="D248" s="229" t="s">
        <v>242</v>
      </c>
      <c r="E248" s="239">
        <f>SUM(E244,E240,E236,E228,E224,E220,E216,E212)</f>
        <v>10</v>
      </c>
      <c r="F248" s="240">
        <f>SUM(F244,F240,F236,F228,F224,F220,F216,F212)</f>
        <v>13</v>
      </c>
      <c r="G248" s="241">
        <f>SUM(G212,G216,G220,G224,G228,G236,G240,G244,G232)</f>
        <v>15</v>
      </c>
      <c r="H248" s="243" t="s">
        <v>243</v>
      </c>
      <c r="I248" s="242"/>
    </row>
    <row r="249" spans="1:9" hidden="1" outlineLevel="1" x14ac:dyDescent="0.25">
      <c r="A249" s="39"/>
      <c r="B249" s="32"/>
      <c r="C249" s="32"/>
      <c r="D249" s="210"/>
      <c r="E249" s="244" t="b">
        <v>1</v>
      </c>
      <c r="F249" s="245" t="b">
        <v>0</v>
      </c>
      <c r="G249" s="244" t="b">
        <v>1</v>
      </c>
      <c r="H249" s="120"/>
      <c r="I249" s="120"/>
    </row>
    <row r="250" spans="1:9" collapsed="1" x14ac:dyDescent="0.25">
      <c r="A250" s="10"/>
      <c r="B250" s="246"/>
      <c r="C250" s="104" t="s">
        <v>244</v>
      </c>
      <c r="D250" s="247"/>
      <c r="E250" s="248"/>
      <c r="F250" s="249"/>
      <c r="G250" s="250"/>
      <c r="H250" s="109"/>
      <c r="I250" s="109"/>
    </row>
    <row r="251" spans="1:9" x14ac:dyDescent="0.25">
      <c r="A251" s="10"/>
      <c r="B251" s="246"/>
      <c r="C251" s="246"/>
      <c r="D251" s="251" t="s">
        <v>245</v>
      </c>
      <c r="E251" s="252">
        <f>12+1+50</f>
        <v>63</v>
      </c>
      <c r="F251" s="253">
        <f>16+2+64</f>
        <v>82</v>
      </c>
      <c r="G251" s="254">
        <f>15+2+59</f>
        <v>76</v>
      </c>
      <c r="H251" s="43" t="s">
        <v>246</v>
      </c>
      <c r="I251" s="43" t="s">
        <v>247</v>
      </c>
    </row>
    <row r="252" spans="1:9" x14ac:dyDescent="0.25">
      <c r="A252" s="10"/>
      <c r="B252" s="246"/>
      <c r="C252" s="246"/>
      <c r="D252" s="251" t="s">
        <v>248</v>
      </c>
      <c r="E252" s="255">
        <f>36+4+176</f>
        <v>216</v>
      </c>
      <c r="F252" s="256">
        <f>51+5+178</f>
        <v>234</v>
      </c>
      <c r="G252" s="257">
        <f>46+6+196</f>
        <v>248</v>
      </c>
      <c r="H252" s="43" t="s">
        <v>246</v>
      </c>
      <c r="I252" s="43" t="s">
        <v>247</v>
      </c>
    </row>
    <row r="253" spans="1:9" x14ac:dyDescent="0.25">
      <c r="A253" s="10"/>
      <c r="B253" s="246"/>
      <c r="C253" s="246"/>
      <c r="D253" s="251" t="s">
        <v>249</v>
      </c>
      <c r="E253" s="255"/>
      <c r="F253" s="256"/>
      <c r="G253" s="257"/>
      <c r="H253" s="43" t="s">
        <v>246</v>
      </c>
      <c r="I253" s="43" t="s">
        <v>247</v>
      </c>
    </row>
    <row r="254" spans="1:9" x14ac:dyDescent="0.25">
      <c r="A254" s="10"/>
      <c r="B254" s="246"/>
      <c r="C254" s="246"/>
      <c r="D254" s="251" t="s">
        <v>250</v>
      </c>
      <c r="E254" s="255"/>
      <c r="F254" s="256"/>
      <c r="G254" s="257"/>
      <c r="H254" s="43" t="s">
        <v>246</v>
      </c>
      <c r="I254" s="43" t="s">
        <v>247</v>
      </c>
    </row>
    <row r="255" spans="1:9" x14ac:dyDescent="0.25">
      <c r="A255" s="10"/>
      <c r="B255" s="246"/>
      <c r="C255" s="246"/>
      <c r="D255" s="251" t="s">
        <v>251</v>
      </c>
      <c r="E255" s="255"/>
      <c r="F255" s="256"/>
      <c r="G255" s="257"/>
      <c r="H255" s="43" t="s">
        <v>246</v>
      </c>
      <c r="I255" s="43" t="s">
        <v>247</v>
      </c>
    </row>
    <row r="256" spans="1:9" x14ac:dyDescent="0.25">
      <c r="A256" s="10"/>
      <c r="B256" s="246"/>
      <c r="C256" s="246"/>
      <c r="D256" s="251" t="s">
        <v>252</v>
      </c>
      <c r="E256" s="255">
        <f>42+4+323+18+1+478</f>
        <v>866</v>
      </c>
      <c r="F256" s="256">
        <f>60+26+5+2+327+507</f>
        <v>927</v>
      </c>
      <c r="G256" s="257">
        <f>52+5+342+18+2+501</f>
        <v>920</v>
      </c>
      <c r="H256" s="43" t="s">
        <v>246</v>
      </c>
      <c r="I256" s="43" t="s">
        <v>247</v>
      </c>
    </row>
    <row r="257" spans="1:9" x14ac:dyDescent="0.25">
      <c r="A257" s="10"/>
      <c r="B257" s="246"/>
      <c r="C257" s="246"/>
      <c r="D257" s="251" t="s">
        <v>253</v>
      </c>
      <c r="E257" s="255"/>
      <c r="F257" s="256"/>
      <c r="G257" s="257"/>
      <c r="H257" s="43" t="s">
        <v>246</v>
      </c>
      <c r="I257" s="43" t="s">
        <v>247</v>
      </c>
    </row>
    <row r="258" spans="1:9" x14ac:dyDescent="0.25">
      <c r="A258" s="10"/>
      <c r="B258" s="246"/>
      <c r="C258" s="246"/>
      <c r="D258" s="251" t="s">
        <v>254</v>
      </c>
      <c r="E258" s="255"/>
      <c r="F258" s="256"/>
      <c r="G258" s="257"/>
      <c r="H258" s="43" t="s">
        <v>246</v>
      </c>
      <c r="I258" s="43" t="s">
        <v>247</v>
      </c>
    </row>
    <row r="259" spans="1:9" x14ac:dyDescent="0.25">
      <c r="A259" s="10"/>
      <c r="B259" s="246"/>
      <c r="C259" s="246"/>
      <c r="D259" s="251" t="s">
        <v>255</v>
      </c>
      <c r="E259" s="255"/>
      <c r="F259" s="256"/>
      <c r="G259" s="257"/>
      <c r="H259" s="43" t="s">
        <v>246</v>
      </c>
      <c r="I259" s="43" t="s">
        <v>247</v>
      </c>
    </row>
    <row r="260" spans="1:9" x14ac:dyDescent="0.25">
      <c r="A260" s="10"/>
      <c r="B260" s="246"/>
      <c r="C260" s="246"/>
      <c r="D260" s="251" t="s">
        <v>256</v>
      </c>
      <c r="E260" s="255"/>
      <c r="F260" s="256"/>
      <c r="G260" s="257"/>
      <c r="H260" s="43" t="s">
        <v>246</v>
      </c>
      <c r="I260" s="43" t="s">
        <v>247</v>
      </c>
    </row>
    <row r="261" spans="1:9" x14ac:dyDescent="0.25">
      <c r="A261" s="10"/>
      <c r="B261" s="246"/>
      <c r="C261" s="246"/>
      <c r="D261" s="251" t="s">
        <v>257</v>
      </c>
      <c r="E261" s="258"/>
      <c r="F261" s="259"/>
      <c r="G261" s="260"/>
      <c r="H261" s="43" t="s">
        <v>246</v>
      </c>
      <c r="I261" s="43" t="s">
        <v>247</v>
      </c>
    </row>
    <row r="262" spans="1:9" ht="15.75" thickBot="1" x14ac:dyDescent="0.3">
      <c r="A262" s="10"/>
      <c r="B262" s="246"/>
      <c r="C262" s="246"/>
      <c r="D262" s="261"/>
      <c r="E262" s="262">
        <f>SUM(E251:E261)</f>
        <v>1145</v>
      </c>
      <c r="F262" s="263">
        <f>SUM(F251:F261)</f>
        <v>1243</v>
      </c>
      <c r="G262" s="264">
        <f>SUM(G251:G261)</f>
        <v>1244</v>
      </c>
      <c r="H262" s="120"/>
      <c r="I262" s="120"/>
    </row>
    <row r="263" spans="1:9" ht="15.75" thickTop="1" x14ac:dyDescent="0.25">
      <c r="A263" s="10"/>
      <c r="B263" s="246"/>
      <c r="C263" s="246"/>
      <c r="D263" s="261"/>
      <c r="E263" s="84" t="b">
        <f>SUM(E251:E261)=E204</f>
        <v>0</v>
      </c>
      <c r="F263" s="85" t="b">
        <f>SUM(F251:F261)=F204</f>
        <v>0</v>
      </c>
      <c r="G263" s="86" t="b">
        <f>SUM(G251:G261)=G204</f>
        <v>0</v>
      </c>
      <c r="H263" s="265" t="s">
        <v>258</v>
      </c>
      <c r="I263" s="265" t="s">
        <v>259</v>
      </c>
    </row>
    <row r="264" spans="1:9" x14ac:dyDescent="0.25">
      <c r="A264" s="10"/>
      <c r="B264" s="246"/>
      <c r="C264" s="246"/>
      <c r="D264" s="261"/>
      <c r="E264" s="171"/>
      <c r="F264" s="172"/>
      <c r="G264" s="173"/>
      <c r="H264" s="120"/>
      <c r="I264" s="120"/>
    </row>
    <row r="265" spans="1:9" x14ac:dyDescent="0.25">
      <c r="A265" s="10"/>
      <c r="B265" s="11"/>
      <c r="C265" s="104" t="s">
        <v>260</v>
      </c>
      <c r="D265" s="105"/>
      <c r="E265" s="106"/>
      <c r="F265" s="107"/>
      <c r="G265" s="108"/>
      <c r="H265" s="109"/>
      <c r="I265" s="109"/>
    </row>
    <row r="266" spans="1:9" x14ac:dyDescent="0.25">
      <c r="A266" s="39"/>
      <c r="B266" s="32"/>
      <c r="C266" s="32"/>
      <c r="D266" s="210" t="s">
        <v>189</v>
      </c>
      <c r="E266" s="211">
        <f>+SUM(E289:E290)</f>
        <v>795</v>
      </c>
      <c r="F266" s="212">
        <f>73+716</f>
        <v>789</v>
      </c>
      <c r="G266" s="213">
        <f>101+1149</f>
        <v>1250</v>
      </c>
      <c r="H266" s="43" t="s">
        <v>193</v>
      </c>
      <c r="I266" s="43" t="s">
        <v>47</v>
      </c>
    </row>
    <row r="267" spans="1:9" x14ac:dyDescent="0.25">
      <c r="A267" s="10"/>
      <c r="B267" s="11"/>
      <c r="C267" s="11"/>
      <c r="D267" s="190" t="s">
        <v>192</v>
      </c>
      <c r="E267" s="214">
        <f>+SUM(E293:E296)</f>
        <v>9</v>
      </c>
      <c r="F267" s="215">
        <f t="shared" ref="F267:G267" si="4">+SUM(F293:F296)</f>
        <v>10</v>
      </c>
      <c r="G267" s="266">
        <f t="shared" si="4"/>
        <v>14</v>
      </c>
      <c r="H267" s="43" t="s">
        <v>193</v>
      </c>
      <c r="I267" s="43" t="s">
        <v>47</v>
      </c>
    </row>
    <row r="268" spans="1:9" x14ac:dyDescent="0.25">
      <c r="A268" s="10"/>
      <c r="B268" s="11"/>
      <c r="C268" s="11"/>
      <c r="D268" s="190" t="s">
        <v>194</v>
      </c>
      <c r="E268" s="214">
        <f>+SUM(E297:E299)</f>
        <v>0</v>
      </c>
      <c r="F268" s="215">
        <f t="shared" ref="F268:G268" si="5">+SUM(F297:F299)</f>
        <v>0</v>
      </c>
      <c r="G268" s="266">
        <f t="shared" si="5"/>
        <v>0</v>
      </c>
      <c r="H268" s="43" t="s">
        <v>193</v>
      </c>
      <c r="I268" s="43" t="s">
        <v>47</v>
      </c>
    </row>
    <row r="269" spans="1:9" x14ac:dyDescent="0.25">
      <c r="A269" s="10"/>
      <c r="B269" s="11"/>
      <c r="C269" s="11"/>
      <c r="D269" s="190" t="s">
        <v>195</v>
      </c>
      <c r="E269" s="214">
        <f>+SUM(E301:E303)</f>
        <v>18</v>
      </c>
      <c r="F269" s="215">
        <f t="shared" ref="F269:G269" si="6">+SUM(F301:F303)</f>
        <v>13</v>
      </c>
      <c r="G269" s="266">
        <f t="shared" si="6"/>
        <v>-426</v>
      </c>
      <c r="H269" s="43" t="s">
        <v>193</v>
      </c>
      <c r="I269" s="43" t="s">
        <v>47</v>
      </c>
    </row>
    <row r="270" spans="1:9" x14ac:dyDescent="0.25">
      <c r="A270" s="10"/>
      <c r="B270" s="11"/>
      <c r="C270" s="11"/>
      <c r="D270" s="190" t="s">
        <v>261</v>
      </c>
      <c r="E270" s="214">
        <f>+SUM(E305:E307)</f>
        <v>29</v>
      </c>
      <c r="F270" s="215">
        <f t="shared" ref="F270:G270" si="7">+SUM(F305:F307)</f>
        <v>57</v>
      </c>
      <c r="G270" s="266">
        <f t="shared" si="7"/>
        <v>35</v>
      </c>
      <c r="H270" s="43" t="s">
        <v>193</v>
      </c>
      <c r="I270" s="43" t="s">
        <v>47</v>
      </c>
    </row>
    <row r="271" spans="1:9" x14ac:dyDescent="0.25">
      <c r="A271" s="10"/>
      <c r="B271" s="11"/>
      <c r="C271" s="11"/>
      <c r="D271" s="190" t="s">
        <v>262</v>
      </c>
      <c r="E271" s="214">
        <f>+SUM(E309:E311)</f>
        <v>2</v>
      </c>
      <c r="F271" s="215">
        <f t="shared" ref="F271:G271" si="8">+SUM(F309:F311)</f>
        <v>3</v>
      </c>
      <c r="G271" s="266">
        <f t="shared" si="8"/>
        <v>5</v>
      </c>
      <c r="H271" s="43" t="s">
        <v>263</v>
      </c>
      <c r="I271" s="43" t="s">
        <v>47</v>
      </c>
    </row>
    <row r="272" spans="1:9" x14ac:dyDescent="0.25">
      <c r="A272" s="10"/>
      <c r="B272" s="11"/>
      <c r="C272" s="11"/>
      <c r="D272" s="190" t="s">
        <v>264</v>
      </c>
      <c r="E272" s="214">
        <f>+SUM(E313:E315)</f>
        <v>0</v>
      </c>
      <c r="F272" s="215">
        <f t="shared" ref="F272:G272" si="9">+SUM(F313:F315)</f>
        <v>-4</v>
      </c>
      <c r="G272" s="266">
        <f t="shared" si="9"/>
        <v>-8</v>
      </c>
      <c r="H272" s="43" t="s">
        <v>193</v>
      </c>
      <c r="I272" s="43" t="s">
        <v>47</v>
      </c>
    </row>
    <row r="273" spans="1:9" x14ac:dyDescent="0.25">
      <c r="A273" s="10"/>
      <c r="B273" s="11"/>
      <c r="C273" s="11"/>
      <c r="D273" s="190" t="s">
        <v>265</v>
      </c>
      <c r="E273" s="214">
        <f>+SUM(E317:E319)</f>
        <v>-76</v>
      </c>
      <c r="F273" s="215">
        <f t="shared" ref="F273:G273" si="10">+SUM(F317:F319)</f>
        <v>-81</v>
      </c>
      <c r="G273" s="266">
        <f t="shared" si="10"/>
        <v>-80</v>
      </c>
      <c r="H273" s="43" t="s">
        <v>193</v>
      </c>
      <c r="I273" s="43" t="s">
        <v>47</v>
      </c>
    </row>
    <row r="274" spans="1:9" x14ac:dyDescent="0.25">
      <c r="A274" s="10"/>
      <c r="B274" s="11"/>
      <c r="C274" s="11"/>
      <c r="D274" s="190" t="s">
        <v>266</v>
      </c>
      <c r="E274" s="214">
        <f>+SUM(E321:E323)</f>
        <v>0</v>
      </c>
      <c r="F274" s="215">
        <f t="shared" ref="F274:G274" si="11">+SUM(F321:F323)</f>
        <v>0</v>
      </c>
      <c r="G274" s="266">
        <f t="shared" si="11"/>
        <v>0</v>
      </c>
      <c r="H274" s="43" t="s">
        <v>193</v>
      </c>
      <c r="I274" s="43" t="s">
        <v>47</v>
      </c>
    </row>
    <row r="275" spans="1:9" x14ac:dyDescent="0.25">
      <c r="A275" s="10"/>
      <c r="B275" s="11"/>
      <c r="C275" s="11"/>
      <c r="D275" s="190" t="s">
        <v>144</v>
      </c>
      <c r="E275" s="267">
        <f>+SUM(E325:E327)</f>
        <v>1</v>
      </c>
      <c r="F275" s="268">
        <f t="shared" ref="F275:G275" si="12">+SUM(F325:F327)</f>
        <v>8</v>
      </c>
      <c r="G275" s="269">
        <f t="shared" si="12"/>
        <v>-1</v>
      </c>
      <c r="H275" s="43" t="s">
        <v>193</v>
      </c>
      <c r="I275" s="43" t="s">
        <v>47</v>
      </c>
    </row>
    <row r="276" spans="1:9" ht="15.75" thickBot="1" x14ac:dyDescent="0.3">
      <c r="A276" s="39"/>
      <c r="B276" s="32"/>
      <c r="C276" s="32"/>
      <c r="D276" s="210" t="s">
        <v>267</v>
      </c>
      <c r="E276" s="270">
        <f>+SUM(E329:E331)</f>
        <v>778</v>
      </c>
      <c r="F276" s="271">
        <f>75+720</f>
        <v>795</v>
      </c>
      <c r="G276" s="272">
        <f>73+716</f>
        <v>789</v>
      </c>
      <c r="H276" s="43" t="s">
        <v>193</v>
      </c>
      <c r="I276" s="43" t="s">
        <v>47</v>
      </c>
    </row>
    <row r="277" spans="1:9" ht="15.75" thickTop="1" x14ac:dyDescent="0.25">
      <c r="A277" s="39"/>
      <c r="B277" s="32"/>
      <c r="C277" s="32"/>
      <c r="D277" s="210"/>
      <c r="E277" s="84" t="b">
        <f>SUM(E266:E275)=E276</f>
        <v>1</v>
      </c>
      <c r="F277" s="85" t="b">
        <f>SUM(F266:F275)=F276</f>
        <v>1</v>
      </c>
      <c r="G277" s="86" t="b">
        <f>SUM(G266:G275)=G276</f>
        <v>1</v>
      </c>
      <c r="H277" s="120"/>
      <c r="I277" s="120"/>
    </row>
    <row r="278" spans="1:9" x14ac:dyDescent="0.25">
      <c r="A278" s="39"/>
      <c r="B278" s="32"/>
      <c r="C278" s="32"/>
      <c r="D278" s="210"/>
      <c r="E278" s="84" t="b">
        <f>+E273=-E87</f>
        <v>1</v>
      </c>
      <c r="F278" s="85" t="b">
        <f>+F273=-F87</f>
        <v>1</v>
      </c>
      <c r="G278" s="86" t="b">
        <f>+G273=-G87</f>
        <v>1</v>
      </c>
      <c r="H278" s="120"/>
      <c r="I278" s="120"/>
    </row>
    <row r="279" spans="1:9" x14ac:dyDescent="0.25">
      <c r="A279" s="39"/>
      <c r="B279" s="32"/>
      <c r="C279" s="32"/>
      <c r="D279" s="210"/>
      <c r="E279" s="84" t="b">
        <f>E276=E29</f>
        <v>1</v>
      </c>
      <c r="F279" s="85" t="b">
        <f>F276=F29</f>
        <v>1</v>
      </c>
      <c r="G279" s="86" t="b">
        <f>G276=G29</f>
        <v>1</v>
      </c>
      <c r="H279" s="120"/>
      <c r="I279" s="120"/>
    </row>
    <row r="280" spans="1:9" x14ac:dyDescent="0.25">
      <c r="A280" s="10"/>
      <c r="B280" s="246"/>
      <c r="C280" s="246"/>
      <c r="D280" s="261"/>
      <c r="E280" s="273"/>
      <c r="F280" s="274"/>
      <c r="G280" s="275"/>
      <c r="H280" s="120"/>
      <c r="I280" s="120"/>
    </row>
    <row r="281" spans="1:9" x14ac:dyDescent="0.25">
      <c r="A281" s="10"/>
      <c r="B281" s="246"/>
      <c r="C281" s="246"/>
      <c r="D281" s="210" t="s">
        <v>268</v>
      </c>
      <c r="E281" s="276" t="s">
        <v>269</v>
      </c>
      <c r="F281" s="277" t="s">
        <v>269</v>
      </c>
      <c r="G281" s="275"/>
      <c r="H281" s="43"/>
      <c r="I281" s="43"/>
    </row>
    <row r="282" spans="1:9" x14ac:dyDescent="0.25">
      <c r="A282" s="10"/>
      <c r="B282" s="246"/>
      <c r="C282" s="246"/>
      <c r="D282" s="210" t="s">
        <v>270</v>
      </c>
      <c r="E282" s="278">
        <v>4.4999999999999998E-2</v>
      </c>
      <c r="F282" s="279">
        <v>4.4999999999999998E-2</v>
      </c>
      <c r="G282" s="280">
        <v>4.4999999999999998E-2</v>
      </c>
      <c r="H282" s="43" t="s">
        <v>169</v>
      </c>
      <c r="I282" s="43" t="s">
        <v>271</v>
      </c>
    </row>
    <row r="283" spans="1:9" x14ac:dyDescent="0.25">
      <c r="A283" s="10"/>
      <c r="B283" s="246"/>
      <c r="C283" s="246"/>
      <c r="D283" s="210" t="s">
        <v>272</v>
      </c>
      <c r="E283" s="273"/>
      <c r="F283" s="274"/>
      <c r="G283" s="275"/>
      <c r="H283" s="43"/>
      <c r="I283" s="43"/>
    </row>
    <row r="284" spans="1:9" x14ac:dyDescent="0.25">
      <c r="A284" s="10"/>
      <c r="B284" s="246"/>
      <c r="C284" s="246"/>
      <c r="D284" s="281" t="s">
        <v>273</v>
      </c>
      <c r="E284" s="278">
        <v>0.89600000000000002</v>
      </c>
      <c r="F284" s="279">
        <v>0.89700000000000002</v>
      </c>
      <c r="G284" s="282">
        <v>0.875</v>
      </c>
      <c r="H284" s="43" t="s">
        <v>274</v>
      </c>
      <c r="I284" s="43" t="s">
        <v>275</v>
      </c>
    </row>
    <row r="285" spans="1:9" x14ac:dyDescent="0.25">
      <c r="A285" s="10"/>
      <c r="B285" s="246"/>
      <c r="C285" s="246"/>
      <c r="D285" s="283" t="s">
        <v>276</v>
      </c>
      <c r="E285" s="278">
        <v>0.72399999999999998</v>
      </c>
      <c r="F285" s="279">
        <v>0.72099999999999997</v>
      </c>
      <c r="G285" s="282">
        <v>0.72499999999999998</v>
      </c>
      <c r="H285" s="43" t="s">
        <v>274</v>
      </c>
      <c r="I285" s="43" t="s">
        <v>275</v>
      </c>
    </row>
    <row r="286" spans="1:9" x14ac:dyDescent="0.25">
      <c r="A286" s="10"/>
      <c r="B286" s="246"/>
      <c r="C286" s="246"/>
      <c r="D286" s="283" t="s">
        <v>277</v>
      </c>
      <c r="E286" s="278">
        <v>0.55600000000000005</v>
      </c>
      <c r="F286" s="279">
        <v>0.55300000000000005</v>
      </c>
      <c r="G286" s="282">
        <v>0.55900000000000005</v>
      </c>
      <c r="H286" s="43" t="s">
        <v>274</v>
      </c>
      <c r="I286" s="43" t="s">
        <v>275</v>
      </c>
    </row>
    <row r="287" spans="1:9" x14ac:dyDescent="0.25">
      <c r="A287" s="10"/>
      <c r="B287" s="246"/>
      <c r="C287" s="246"/>
      <c r="D287" s="283"/>
      <c r="E287" s="273"/>
      <c r="F287" s="274"/>
      <c r="G287" s="275"/>
      <c r="H287" s="43"/>
      <c r="I287" s="43"/>
    </row>
    <row r="288" spans="1:9" hidden="1" outlineLevel="1" x14ac:dyDescent="0.25">
      <c r="A288" s="10"/>
      <c r="B288" s="246"/>
      <c r="C288" s="223" t="s">
        <v>278</v>
      </c>
      <c r="D288" s="284"/>
      <c r="E288" s="225"/>
      <c r="F288" s="226"/>
      <c r="G288" s="227"/>
      <c r="H288" s="228"/>
      <c r="I288" s="228"/>
    </row>
    <row r="289" spans="1:9" hidden="1" outlineLevel="1" x14ac:dyDescent="0.25">
      <c r="A289" s="10"/>
      <c r="B289" s="246"/>
      <c r="C289" s="246"/>
      <c r="D289" s="229" t="s">
        <v>206</v>
      </c>
      <c r="E289" s="230">
        <v>75</v>
      </c>
      <c r="F289" s="231">
        <f>G329</f>
        <v>73</v>
      </c>
      <c r="G289" s="232">
        <v>101</v>
      </c>
      <c r="H289" s="48" t="s">
        <v>279</v>
      </c>
      <c r="I289" s="48" t="s">
        <v>208</v>
      </c>
    </row>
    <row r="290" spans="1:9" hidden="1" outlineLevel="1" x14ac:dyDescent="0.25">
      <c r="A290" s="10"/>
      <c r="B290" s="246"/>
      <c r="C290" s="246"/>
      <c r="D290" s="229" t="s">
        <v>209</v>
      </c>
      <c r="E290" s="230">
        <v>720</v>
      </c>
      <c r="F290" s="231">
        <f>G330</f>
        <v>716</v>
      </c>
      <c r="G290" s="232">
        <v>1149</v>
      </c>
      <c r="H290" s="48" t="s">
        <v>263</v>
      </c>
      <c r="I290" s="48" t="s">
        <v>211</v>
      </c>
    </row>
    <row r="291" spans="1:9" hidden="1" outlineLevel="1" x14ac:dyDescent="0.25">
      <c r="A291" s="10"/>
      <c r="B291" s="246"/>
      <c r="C291" s="246"/>
      <c r="D291" s="229" t="s">
        <v>212</v>
      </c>
      <c r="E291" s="230"/>
      <c r="F291" s="231"/>
      <c r="G291" s="232"/>
      <c r="H291" s="48"/>
      <c r="I291" s="48" t="s">
        <v>217</v>
      </c>
    </row>
    <row r="292" spans="1:9" hidden="1" outlineLevel="1" x14ac:dyDescent="0.25">
      <c r="A292" s="10"/>
      <c r="B292" s="246"/>
      <c r="C292" s="246"/>
      <c r="D292" s="229"/>
      <c r="E292" s="230"/>
      <c r="F292" s="231"/>
      <c r="G292" s="232"/>
      <c r="H292" s="48"/>
      <c r="I292" s="48"/>
    </row>
    <row r="293" spans="1:9" hidden="1" outlineLevel="1" x14ac:dyDescent="0.25">
      <c r="A293" s="10"/>
      <c r="B293" s="246"/>
      <c r="C293" s="246"/>
      <c r="D293" s="234" t="s">
        <v>214</v>
      </c>
      <c r="E293" s="285">
        <v>13</v>
      </c>
      <c r="F293" s="286">
        <v>9</v>
      </c>
      <c r="G293" s="287">
        <v>11</v>
      </c>
      <c r="H293" s="48" t="s">
        <v>279</v>
      </c>
      <c r="I293" s="48" t="s">
        <v>208</v>
      </c>
    </row>
    <row r="294" spans="1:9" hidden="1" outlineLevel="1" x14ac:dyDescent="0.25">
      <c r="A294" s="10"/>
      <c r="B294" s="246"/>
      <c r="C294" s="246"/>
      <c r="D294" s="234" t="s">
        <v>215</v>
      </c>
      <c r="E294" s="285">
        <v>-4</v>
      </c>
      <c r="F294" s="286">
        <v>1</v>
      </c>
      <c r="G294" s="287">
        <v>3</v>
      </c>
      <c r="H294" s="48" t="s">
        <v>263</v>
      </c>
      <c r="I294" s="48" t="s">
        <v>211</v>
      </c>
    </row>
    <row r="295" spans="1:9" hidden="1" outlineLevel="1" x14ac:dyDescent="0.25">
      <c r="A295" s="10"/>
      <c r="B295" s="246"/>
      <c r="C295" s="246"/>
      <c r="D295" s="234" t="s">
        <v>216</v>
      </c>
      <c r="E295" s="235"/>
      <c r="F295" s="236"/>
      <c r="G295" s="237"/>
      <c r="H295" s="48"/>
      <c r="I295" s="48" t="s">
        <v>217</v>
      </c>
    </row>
    <row r="296" spans="1:9" hidden="1" outlineLevel="1" x14ac:dyDescent="0.25">
      <c r="A296" s="10"/>
      <c r="B296" s="246"/>
      <c r="C296" s="246"/>
      <c r="D296" s="234"/>
      <c r="E296" s="235"/>
      <c r="F296" s="236"/>
      <c r="G296" s="237"/>
      <c r="H296" s="48"/>
      <c r="I296" s="48"/>
    </row>
    <row r="297" spans="1:9" hidden="1" outlineLevel="1" x14ac:dyDescent="0.25">
      <c r="A297" s="10"/>
      <c r="B297" s="246"/>
      <c r="C297" s="246"/>
      <c r="D297" s="234" t="s">
        <v>218</v>
      </c>
      <c r="E297" s="285">
        <v>0</v>
      </c>
      <c r="F297" s="286">
        <v>0</v>
      </c>
      <c r="G297" s="287">
        <v>0</v>
      </c>
      <c r="H297" s="48" t="s">
        <v>279</v>
      </c>
      <c r="I297" s="48" t="s">
        <v>208</v>
      </c>
    </row>
    <row r="298" spans="1:9" hidden="1" outlineLevel="1" x14ac:dyDescent="0.25">
      <c r="A298" s="10"/>
      <c r="B298" s="246"/>
      <c r="C298" s="246"/>
      <c r="D298" s="234" t="s">
        <v>219</v>
      </c>
      <c r="E298" s="285">
        <v>0</v>
      </c>
      <c r="F298" s="286">
        <v>0</v>
      </c>
      <c r="G298" s="287"/>
      <c r="H298" s="48" t="s">
        <v>263</v>
      </c>
      <c r="I298" s="48" t="s">
        <v>211</v>
      </c>
    </row>
    <row r="299" spans="1:9" hidden="1" outlineLevel="1" x14ac:dyDescent="0.25">
      <c r="A299" s="10"/>
      <c r="B299" s="246"/>
      <c r="C299" s="246"/>
      <c r="D299" s="234" t="s">
        <v>220</v>
      </c>
      <c r="E299" s="235"/>
      <c r="F299" s="236"/>
      <c r="G299" s="237"/>
      <c r="H299" s="48"/>
      <c r="I299" s="48" t="s">
        <v>217</v>
      </c>
    </row>
    <row r="300" spans="1:9" hidden="1" outlineLevel="1" x14ac:dyDescent="0.25">
      <c r="A300" s="10"/>
      <c r="B300" s="246"/>
      <c r="C300" s="246"/>
      <c r="D300" s="234"/>
      <c r="E300" s="235"/>
      <c r="F300" s="236"/>
      <c r="G300" s="237"/>
      <c r="H300" s="48"/>
      <c r="I300" s="48"/>
    </row>
    <row r="301" spans="1:9" hidden="1" outlineLevel="1" x14ac:dyDescent="0.25">
      <c r="A301" s="10"/>
      <c r="B301" s="246"/>
      <c r="C301" s="246"/>
      <c r="D301" s="234" t="s">
        <v>221</v>
      </c>
      <c r="E301" s="285">
        <v>2</v>
      </c>
      <c r="F301" s="286">
        <v>9</v>
      </c>
      <c r="G301" s="287">
        <v>-20</v>
      </c>
      <c r="H301" s="48" t="s">
        <v>279</v>
      </c>
      <c r="I301" s="48" t="s">
        <v>208</v>
      </c>
    </row>
    <row r="302" spans="1:9" hidden="1" outlineLevel="1" x14ac:dyDescent="0.25">
      <c r="A302" s="10"/>
      <c r="B302" s="246"/>
      <c r="C302" s="246"/>
      <c r="D302" s="234" t="s">
        <v>222</v>
      </c>
      <c r="E302" s="285">
        <v>16</v>
      </c>
      <c r="F302" s="286">
        <v>4</v>
      </c>
      <c r="G302" s="287">
        <v>-406</v>
      </c>
      <c r="H302" s="48" t="s">
        <v>263</v>
      </c>
      <c r="I302" s="48" t="s">
        <v>211</v>
      </c>
    </row>
    <row r="303" spans="1:9" hidden="1" outlineLevel="1" x14ac:dyDescent="0.25">
      <c r="A303" s="10"/>
      <c r="B303" s="246"/>
      <c r="C303" s="246"/>
      <c r="D303" s="234" t="s">
        <v>223</v>
      </c>
      <c r="E303" s="235"/>
      <c r="F303" s="236"/>
      <c r="G303" s="237"/>
      <c r="H303" s="48"/>
      <c r="I303" s="48" t="s">
        <v>217</v>
      </c>
    </row>
    <row r="304" spans="1:9" hidden="1" outlineLevel="1" x14ac:dyDescent="0.25">
      <c r="A304" s="10"/>
      <c r="B304" s="246"/>
      <c r="C304" s="246"/>
      <c r="D304" s="234"/>
      <c r="E304" s="235"/>
      <c r="F304" s="236"/>
      <c r="G304" s="237"/>
      <c r="H304" s="48"/>
      <c r="I304" s="48"/>
    </row>
    <row r="305" spans="1:9" hidden="1" outlineLevel="1" x14ac:dyDescent="0.25">
      <c r="A305" s="10"/>
      <c r="B305" s="246"/>
      <c r="C305" s="246"/>
      <c r="D305" s="234" t="s">
        <v>280</v>
      </c>
      <c r="E305" s="285">
        <v>-4</v>
      </c>
      <c r="F305" s="286">
        <v>-3</v>
      </c>
      <c r="G305" s="287">
        <v>-3</v>
      </c>
      <c r="H305" s="48" t="s">
        <v>279</v>
      </c>
      <c r="I305" s="48" t="s">
        <v>208</v>
      </c>
    </row>
    <row r="306" spans="1:9" hidden="1" outlineLevel="1" x14ac:dyDescent="0.25">
      <c r="A306" s="10"/>
      <c r="B306" s="246"/>
      <c r="C306" s="246"/>
      <c r="D306" s="234" t="s">
        <v>281</v>
      </c>
      <c r="E306" s="285">
        <v>33</v>
      </c>
      <c r="F306" s="286">
        <v>60</v>
      </c>
      <c r="G306" s="287">
        <v>38</v>
      </c>
      <c r="H306" s="48" t="s">
        <v>263</v>
      </c>
      <c r="I306" s="48" t="s">
        <v>211</v>
      </c>
    </row>
    <row r="307" spans="1:9" hidden="1" outlineLevel="1" x14ac:dyDescent="0.25">
      <c r="A307" s="10"/>
      <c r="B307" s="246"/>
      <c r="C307" s="246"/>
      <c r="D307" s="234" t="s">
        <v>282</v>
      </c>
      <c r="E307" s="235"/>
      <c r="F307" s="236"/>
      <c r="G307" s="237"/>
      <c r="H307" s="48"/>
      <c r="I307" s="48" t="s">
        <v>217</v>
      </c>
    </row>
    <row r="308" spans="1:9" hidden="1" outlineLevel="1" x14ac:dyDescent="0.25">
      <c r="A308" s="10"/>
      <c r="B308" s="246"/>
      <c r="C308" s="246"/>
      <c r="D308" s="234"/>
      <c r="E308" s="235"/>
      <c r="F308" s="236"/>
      <c r="G308" s="237"/>
      <c r="H308" s="48"/>
      <c r="I308" s="48"/>
    </row>
    <row r="309" spans="1:9" hidden="1" outlineLevel="1" x14ac:dyDescent="0.25">
      <c r="A309" s="10"/>
      <c r="B309" s="246"/>
      <c r="C309" s="246"/>
      <c r="D309" s="234" t="s">
        <v>227</v>
      </c>
      <c r="E309" s="285">
        <v>0</v>
      </c>
      <c r="F309" s="286">
        <v>0</v>
      </c>
      <c r="G309" s="287">
        <v>0</v>
      </c>
      <c r="H309" s="48" t="s">
        <v>279</v>
      </c>
      <c r="I309" s="48" t="s">
        <v>208</v>
      </c>
    </row>
    <row r="310" spans="1:9" hidden="1" outlineLevel="1" x14ac:dyDescent="0.25">
      <c r="A310" s="10"/>
      <c r="B310" s="246"/>
      <c r="C310" s="246"/>
      <c r="D310" s="234" t="s">
        <v>228</v>
      </c>
      <c r="E310" s="285">
        <v>2</v>
      </c>
      <c r="F310" s="286">
        <v>3</v>
      </c>
      <c r="G310" s="287">
        <v>5</v>
      </c>
      <c r="H310" s="48" t="s">
        <v>263</v>
      </c>
      <c r="I310" s="48" t="s">
        <v>211</v>
      </c>
    </row>
    <row r="311" spans="1:9" hidden="1" outlineLevel="1" x14ac:dyDescent="0.25">
      <c r="A311" s="10"/>
      <c r="B311" s="246"/>
      <c r="C311" s="246"/>
      <c r="D311" s="234" t="s">
        <v>229</v>
      </c>
      <c r="E311" s="235"/>
      <c r="F311" s="236"/>
      <c r="G311" s="237"/>
      <c r="H311" s="48"/>
      <c r="I311" s="48" t="s">
        <v>217</v>
      </c>
    </row>
    <row r="312" spans="1:9" hidden="1" outlineLevel="1" x14ac:dyDescent="0.25">
      <c r="A312" s="10"/>
      <c r="B312" s="246"/>
      <c r="C312" s="246"/>
      <c r="D312" s="288"/>
      <c r="E312" s="289"/>
      <c r="F312" s="236"/>
      <c r="G312" s="237"/>
      <c r="H312" s="48"/>
      <c r="I312" s="48"/>
    </row>
    <row r="313" spans="1:9" hidden="1" outlineLevel="1" x14ac:dyDescent="0.25">
      <c r="A313" s="10"/>
      <c r="B313" s="246"/>
      <c r="C313" s="246"/>
      <c r="D313" s="234" t="s">
        <v>283</v>
      </c>
      <c r="E313" s="285">
        <v>0</v>
      </c>
      <c r="F313" s="286">
        <v>-4</v>
      </c>
      <c r="G313" s="287">
        <v>-8</v>
      </c>
      <c r="H313" s="48" t="s">
        <v>279</v>
      </c>
      <c r="I313" s="48" t="s">
        <v>208</v>
      </c>
    </row>
    <row r="314" spans="1:9" hidden="1" outlineLevel="1" x14ac:dyDescent="0.25">
      <c r="A314" s="10"/>
      <c r="B314" s="246"/>
      <c r="C314" s="246"/>
      <c r="D314" s="234" t="s">
        <v>284</v>
      </c>
      <c r="E314" s="285">
        <v>0</v>
      </c>
      <c r="F314" s="286">
        <v>0</v>
      </c>
      <c r="G314" s="287">
        <v>0</v>
      </c>
      <c r="H314" s="48" t="s">
        <v>263</v>
      </c>
      <c r="I314" s="48" t="s">
        <v>211</v>
      </c>
    </row>
    <row r="315" spans="1:9" hidden="1" outlineLevel="1" x14ac:dyDescent="0.25">
      <c r="A315" s="10"/>
      <c r="B315" s="246"/>
      <c r="C315" s="246"/>
      <c r="D315" s="234" t="s">
        <v>285</v>
      </c>
      <c r="E315" s="235"/>
      <c r="F315" s="236"/>
      <c r="G315" s="237"/>
      <c r="H315" s="48"/>
      <c r="I315" s="48" t="s">
        <v>217</v>
      </c>
    </row>
    <row r="316" spans="1:9" hidden="1" outlineLevel="1" x14ac:dyDescent="0.25">
      <c r="A316" s="10"/>
      <c r="B316" s="246"/>
      <c r="C316" s="246"/>
      <c r="D316" s="288"/>
      <c r="E316" s="289"/>
      <c r="F316" s="236"/>
      <c r="G316" s="237"/>
      <c r="H316" s="48"/>
      <c r="I316" s="48"/>
    </row>
    <row r="317" spans="1:9" hidden="1" outlineLevel="1" x14ac:dyDescent="0.25">
      <c r="A317" s="10"/>
      <c r="B317" s="246"/>
      <c r="C317" s="246"/>
      <c r="D317" s="234" t="s">
        <v>286</v>
      </c>
      <c r="E317" s="285">
        <v>-5</v>
      </c>
      <c r="F317" s="286">
        <v>-9</v>
      </c>
      <c r="G317" s="287">
        <v>-8</v>
      </c>
      <c r="H317" s="48" t="s">
        <v>279</v>
      </c>
      <c r="I317" s="48" t="s">
        <v>208</v>
      </c>
    </row>
    <row r="318" spans="1:9" hidden="1" outlineLevel="1" x14ac:dyDescent="0.25">
      <c r="A318" s="10"/>
      <c r="B318" s="246"/>
      <c r="C318" s="246"/>
      <c r="D318" s="234" t="s">
        <v>287</v>
      </c>
      <c r="E318" s="285">
        <v>-71</v>
      </c>
      <c r="F318" s="286">
        <v>-72</v>
      </c>
      <c r="G318" s="287">
        <f>-72</f>
        <v>-72</v>
      </c>
      <c r="H318" s="48" t="s">
        <v>263</v>
      </c>
      <c r="I318" s="48" t="s">
        <v>211</v>
      </c>
    </row>
    <row r="319" spans="1:9" hidden="1" outlineLevel="1" x14ac:dyDescent="0.25">
      <c r="A319" s="10"/>
      <c r="B319" s="246"/>
      <c r="C319" s="246"/>
      <c r="D319" s="234" t="s">
        <v>288</v>
      </c>
      <c r="E319" s="235"/>
      <c r="F319" s="236"/>
      <c r="G319" s="237"/>
      <c r="H319" s="48"/>
      <c r="I319" s="48" t="s">
        <v>217</v>
      </c>
    </row>
    <row r="320" spans="1:9" hidden="1" outlineLevel="1" x14ac:dyDescent="0.25">
      <c r="A320" s="10"/>
      <c r="B320" s="246"/>
      <c r="C320" s="246"/>
      <c r="D320" s="288"/>
      <c r="E320" s="289"/>
      <c r="F320" s="236"/>
      <c r="G320" s="237"/>
      <c r="H320" s="48"/>
      <c r="I320" s="48"/>
    </row>
    <row r="321" spans="1:9" hidden="1" outlineLevel="1" x14ac:dyDescent="0.25">
      <c r="A321" s="10"/>
      <c r="B321" s="246"/>
      <c r="C321" s="246"/>
      <c r="D321" s="234" t="s">
        <v>233</v>
      </c>
      <c r="E321" s="285">
        <v>0</v>
      </c>
      <c r="F321" s="286">
        <v>0</v>
      </c>
      <c r="G321" s="287">
        <v>0</v>
      </c>
      <c r="H321" s="48" t="s">
        <v>279</v>
      </c>
      <c r="I321" s="48" t="s">
        <v>208</v>
      </c>
    </row>
    <row r="322" spans="1:9" hidden="1" outlineLevel="1" x14ac:dyDescent="0.25">
      <c r="A322" s="10"/>
      <c r="B322" s="246"/>
      <c r="C322" s="246"/>
      <c r="D322" s="234" t="s">
        <v>234</v>
      </c>
      <c r="E322" s="285">
        <v>0</v>
      </c>
      <c r="F322" s="286">
        <v>0</v>
      </c>
      <c r="G322" s="287">
        <v>0</v>
      </c>
      <c r="H322" s="48" t="s">
        <v>289</v>
      </c>
      <c r="I322" s="48" t="s">
        <v>211</v>
      </c>
    </row>
    <row r="323" spans="1:9" hidden="1" outlineLevel="1" x14ac:dyDescent="0.25">
      <c r="A323" s="10"/>
      <c r="B323" s="246"/>
      <c r="C323" s="246"/>
      <c r="D323" s="234" t="s">
        <v>235</v>
      </c>
      <c r="E323" s="235"/>
      <c r="F323" s="236"/>
      <c r="G323" s="237"/>
      <c r="H323" s="48"/>
      <c r="I323" s="48" t="s">
        <v>217</v>
      </c>
    </row>
    <row r="324" spans="1:9" hidden="1" outlineLevel="1" x14ac:dyDescent="0.25">
      <c r="A324" s="10"/>
      <c r="B324" s="246"/>
      <c r="C324" s="246"/>
      <c r="D324" s="288"/>
      <c r="E324" s="289"/>
      <c r="F324" s="236"/>
      <c r="G324" s="237"/>
      <c r="H324" s="48"/>
      <c r="I324" s="48"/>
    </row>
    <row r="325" spans="1:9" hidden="1" outlineLevel="1" x14ac:dyDescent="0.25">
      <c r="A325" s="10"/>
      <c r="B325" s="246"/>
      <c r="C325" s="246"/>
      <c r="D325" s="234" t="s">
        <v>236</v>
      </c>
      <c r="E325" s="285">
        <v>0</v>
      </c>
      <c r="F325" s="286">
        <v>0</v>
      </c>
      <c r="G325" s="287">
        <v>0</v>
      </c>
      <c r="H325" s="48" t="s">
        <v>279</v>
      </c>
      <c r="I325" s="48" t="s">
        <v>208</v>
      </c>
    </row>
    <row r="326" spans="1:9" hidden="1" outlineLevel="1" x14ac:dyDescent="0.25">
      <c r="A326" s="10"/>
      <c r="B326" s="246"/>
      <c r="C326" s="246"/>
      <c r="D326" s="234" t="s">
        <v>237</v>
      </c>
      <c r="E326" s="285">
        <v>1</v>
      </c>
      <c r="F326" s="286">
        <f>1+6+1</f>
        <v>8</v>
      </c>
      <c r="G326" s="287">
        <v>-1</v>
      </c>
      <c r="H326" s="48" t="s">
        <v>290</v>
      </c>
      <c r="I326" s="48" t="s">
        <v>211</v>
      </c>
    </row>
    <row r="327" spans="1:9" hidden="1" outlineLevel="1" x14ac:dyDescent="0.25">
      <c r="A327" s="10"/>
      <c r="B327" s="246"/>
      <c r="C327" s="246"/>
      <c r="D327" s="234" t="s">
        <v>238</v>
      </c>
      <c r="E327" s="235"/>
      <c r="F327" s="236"/>
      <c r="G327" s="237"/>
      <c r="H327" s="48"/>
      <c r="I327" s="48" t="s">
        <v>217</v>
      </c>
    </row>
    <row r="328" spans="1:9" hidden="1" outlineLevel="1" x14ac:dyDescent="0.25">
      <c r="A328" s="10"/>
      <c r="B328" s="246"/>
      <c r="C328" s="246"/>
      <c r="D328" s="288"/>
      <c r="E328" s="289"/>
      <c r="F328" s="236"/>
      <c r="G328" s="237"/>
      <c r="H328" s="48"/>
      <c r="I328" s="48"/>
    </row>
    <row r="329" spans="1:9" ht="15.75" hidden="1" outlineLevel="1" thickBot="1" x14ac:dyDescent="0.3">
      <c r="A329" s="10"/>
      <c r="B329" s="246"/>
      <c r="C329" s="246"/>
      <c r="D329" s="229" t="s">
        <v>239</v>
      </c>
      <c r="E329" s="239">
        <f t="shared" ref="E329:G330" si="13">SUM(E325,E321,E317,E313,E309,E305,E301,E297,E293,E289)</f>
        <v>81</v>
      </c>
      <c r="F329" s="240">
        <f t="shared" si="13"/>
        <v>75</v>
      </c>
      <c r="G329" s="241">
        <f t="shared" si="13"/>
        <v>73</v>
      </c>
      <c r="H329" s="242" t="s">
        <v>279</v>
      </c>
      <c r="I329" s="242"/>
    </row>
    <row r="330" spans="1:9" ht="15.75" hidden="1" outlineLevel="1" thickBot="1" x14ac:dyDescent="0.3">
      <c r="A330" s="10"/>
      <c r="B330" s="246"/>
      <c r="C330" s="246"/>
      <c r="D330" s="229" t="s">
        <v>240</v>
      </c>
      <c r="E330" s="239">
        <f t="shared" si="13"/>
        <v>697</v>
      </c>
      <c r="F330" s="240">
        <f t="shared" si="13"/>
        <v>720</v>
      </c>
      <c r="G330" s="241">
        <f t="shared" si="13"/>
        <v>716</v>
      </c>
      <c r="H330" s="242" t="s">
        <v>263</v>
      </c>
      <c r="I330" s="242"/>
    </row>
    <row r="331" spans="1:9" ht="15.75" hidden="1" outlineLevel="1" thickBot="1" x14ac:dyDescent="0.3">
      <c r="A331" s="10"/>
      <c r="B331" s="246"/>
      <c r="C331" s="246"/>
      <c r="D331" s="229" t="s">
        <v>242</v>
      </c>
      <c r="E331" s="290">
        <f>SUM(E327,E323,E319,E315,E311,E307,E303,E299,E295,E291)</f>
        <v>0</v>
      </c>
      <c r="F331" s="291">
        <f>SUM(F327,F323,F319,F315,F311,F307,F303,F299,F295,F291)</f>
        <v>0</v>
      </c>
      <c r="G331" s="292">
        <f>SUM(G327,G323,G319,G315,G311,G307,G303,G299,G295,G291)</f>
        <v>0</v>
      </c>
      <c r="H331" s="242" t="s">
        <v>291</v>
      </c>
      <c r="I331" s="242"/>
    </row>
    <row r="332" spans="1:9" hidden="1" outlineLevel="1" x14ac:dyDescent="0.25">
      <c r="A332" s="10"/>
      <c r="B332" s="246"/>
      <c r="C332" s="246"/>
      <c r="D332" s="283"/>
      <c r="E332" s="293"/>
      <c r="F332" s="274"/>
      <c r="G332" s="275"/>
      <c r="H332" s="43"/>
      <c r="I332" s="43"/>
    </row>
    <row r="333" spans="1:9" collapsed="1" x14ac:dyDescent="0.25">
      <c r="A333" s="10"/>
      <c r="B333" s="11"/>
      <c r="C333" s="104" t="s">
        <v>292</v>
      </c>
      <c r="D333" s="105"/>
      <c r="E333" s="106"/>
      <c r="F333" s="107"/>
      <c r="G333" s="108"/>
      <c r="H333" s="109"/>
      <c r="I333" s="109"/>
    </row>
    <row r="334" spans="1:9" x14ac:dyDescent="0.25">
      <c r="A334" s="10"/>
      <c r="B334" s="11"/>
      <c r="C334" s="11"/>
      <c r="D334" s="190" t="s">
        <v>189</v>
      </c>
      <c r="E334" s="153">
        <f>F341</f>
        <v>91</v>
      </c>
      <c r="F334" s="154">
        <f>+F346+F356</f>
        <v>88</v>
      </c>
      <c r="G334" s="191">
        <f>G346+4</f>
        <v>27</v>
      </c>
      <c r="H334" s="43"/>
      <c r="I334" s="43" t="s">
        <v>293</v>
      </c>
    </row>
    <row r="335" spans="1:9" x14ac:dyDescent="0.25">
      <c r="A335" s="10"/>
      <c r="B335" s="11"/>
      <c r="C335" s="11"/>
      <c r="D335" s="190" t="s">
        <v>294</v>
      </c>
      <c r="E335" s="153">
        <f>+SUM(E336:E338)</f>
        <v>81</v>
      </c>
      <c r="F335" s="154">
        <f>+SUM(F336:F338)</f>
        <v>3</v>
      </c>
      <c r="G335" s="191">
        <f>+SUM(G336:G338)</f>
        <v>34</v>
      </c>
      <c r="H335" s="43"/>
      <c r="I335" s="43" t="s">
        <v>293</v>
      </c>
    </row>
    <row r="336" spans="1:9" x14ac:dyDescent="0.25">
      <c r="A336" s="10"/>
      <c r="B336" s="11"/>
      <c r="C336" s="11"/>
      <c r="D336" s="121" t="s">
        <v>295</v>
      </c>
      <c r="E336" s="122">
        <f t="shared" ref="E336" si="14">E348+E358</f>
        <v>10</v>
      </c>
      <c r="F336" s="123">
        <f>F348+F358</f>
        <v>10</v>
      </c>
      <c r="G336" s="124">
        <f t="shared" ref="F336:H338" si="15">G348+G358</f>
        <v>17</v>
      </c>
      <c r="H336" s="43"/>
      <c r="I336" s="43" t="s">
        <v>293</v>
      </c>
    </row>
    <row r="337" spans="1:10" x14ac:dyDescent="0.25">
      <c r="A337" s="10"/>
      <c r="B337" s="11"/>
      <c r="C337" s="11"/>
      <c r="D337" s="121" t="s">
        <v>296</v>
      </c>
      <c r="E337" s="122">
        <f>E349+E359</f>
        <v>0</v>
      </c>
      <c r="F337" s="123">
        <f t="shared" si="15"/>
        <v>-15</v>
      </c>
      <c r="G337" s="124">
        <f t="shared" si="15"/>
        <v>0</v>
      </c>
      <c r="H337" s="43"/>
      <c r="I337" s="43" t="s">
        <v>293</v>
      </c>
    </row>
    <row r="338" spans="1:10" x14ac:dyDescent="0.25">
      <c r="A338" s="10"/>
      <c r="B338" s="11"/>
      <c r="C338" s="11"/>
      <c r="D338" s="121" t="s">
        <v>297</v>
      </c>
      <c r="E338" s="122">
        <f t="shared" ref="E338" si="16">E350+E360</f>
        <v>71</v>
      </c>
      <c r="F338" s="123">
        <f t="shared" si="15"/>
        <v>8</v>
      </c>
      <c r="G338" s="124">
        <f t="shared" si="15"/>
        <v>17</v>
      </c>
      <c r="H338" s="43"/>
      <c r="I338" s="43" t="s">
        <v>293</v>
      </c>
    </row>
    <row r="339" spans="1:10" x14ac:dyDescent="0.25">
      <c r="A339" s="10"/>
      <c r="B339" s="11"/>
      <c r="C339" s="11"/>
      <c r="D339" s="190" t="s">
        <v>195</v>
      </c>
      <c r="E339" s="153">
        <f t="shared" ref="E339:G340" si="17">E351+E362</f>
        <v>1</v>
      </c>
      <c r="F339" s="154">
        <f>F351+F362</f>
        <v>-2</v>
      </c>
      <c r="G339" s="191">
        <f t="shared" si="17"/>
        <v>-6</v>
      </c>
      <c r="H339" s="43"/>
      <c r="I339" s="43" t="s">
        <v>293</v>
      </c>
    </row>
    <row r="340" spans="1:10" x14ac:dyDescent="0.25">
      <c r="A340" s="10"/>
      <c r="B340" s="11"/>
      <c r="C340" s="11"/>
      <c r="D340" s="190" t="s">
        <v>129</v>
      </c>
      <c r="E340" s="294">
        <f t="shared" si="17"/>
        <v>4</v>
      </c>
      <c r="F340" s="295">
        <f>F352+F363</f>
        <v>2</v>
      </c>
      <c r="G340" s="198">
        <f t="shared" si="17"/>
        <v>-2</v>
      </c>
      <c r="H340" s="43"/>
      <c r="I340" s="43" t="s">
        <v>293</v>
      </c>
    </row>
    <row r="341" spans="1:10" ht="15.75" thickBot="1" x14ac:dyDescent="0.3">
      <c r="A341" s="10"/>
      <c r="B341" s="11"/>
      <c r="C341" s="11"/>
      <c r="D341" s="190" t="s">
        <v>298</v>
      </c>
      <c r="E341" s="262">
        <f>+E353+E364</f>
        <v>177</v>
      </c>
      <c r="F341" s="263">
        <f>+F353+F364</f>
        <v>91</v>
      </c>
      <c r="G341" s="296">
        <f>G353+(G364-G361-G356+4)</f>
        <v>53</v>
      </c>
      <c r="H341" s="43"/>
      <c r="I341" s="43" t="s">
        <v>293</v>
      </c>
    </row>
    <row r="342" spans="1:10" ht="15.75" thickTop="1" x14ac:dyDescent="0.25">
      <c r="A342" s="10"/>
      <c r="B342" s="11"/>
      <c r="C342" s="11"/>
      <c r="D342" s="84"/>
      <c r="E342" s="84" t="b">
        <f>SUM(E334:E335,E339:E340)=E341</f>
        <v>1</v>
      </c>
      <c r="F342" s="85" t="b">
        <f>SUM(F334:F335,F339:F340)=F341</f>
        <v>1</v>
      </c>
      <c r="G342" s="86" t="b">
        <f>SUM(G334:G335,G339:G340)=G341</f>
        <v>1</v>
      </c>
      <c r="H342" s="120"/>
      <c r="I342" s="120"/>
    </row>
    <row r="343" spans="1:10" x14ac:dyDescent="0.25">
      <c r="A343" s="10"/>
      <c r="B343" s="11"/>
      <c r="C343" s="11"/>
      <c r="D343" s="190"/>
      <c r="E343" s="84" t="b">
        <f>(E335-E94)=-E88</f>
        <v>1</v>
      </c>
      <c r="F343" s="85" t="b">
        <f>(F335-F94)=-F88</f>
        <v>0</v>
      </c>
      <c r="G343" s="86" t="b">
        <f>(G335-G94)=-G88</f>
        <v>1</v>
      </c>
      <c r="H343" s="120" t="s">
        <v>299</v>
      </c>
      <c r="I343" s="120"/>
    </row>
    <row r="344" spans="1:10" x14ac:dyDescent="0.25">
      <c r="A344" s="10"/>
      <c r="B344" s="11"/>
      <c r="C344" s="11"/>
      <c r="D344" s="190"/>
      <c r="E344" s="84"/>
      <c r="F344" s="85"/>
      <c r="G344" s="86"/>
      <c r="H344" s="120"/>
      <c r="I344" s="120"/>
    </row>
    <row r="345" spans="1:10" x14ac:dyDescent="0.25">
      <c r="A345" s="10"/>
      <c r="B345" s="11"/>
      <c r="C345" s="11"/>
      <c r="D345" s="297" t="s">
        <v>300</v>
      </c>
      <c r="E345" s="298"/>
      <c r="F345" s="299"/>
      <c r="G345" s="300"/>
      <c r="H345" s="301"/>
      <c r="I345" s="301"/>
      <c r="J345" s="228"/>
    </row>
    <row r="346" spans="1:10" x14ac:dyDescent="0.25">
      <c r="A346" s="10"/>
      <c r="B346" s="11"/>
      <c r="C346" s="11"/>
      <c r="D346" s="302" t="s">
        <v>189</v>
      </c>
      <c r="E346" s="303">
        <f>F353</f>
        <v>55</v>
      </c>
      <c r="F346" s="304">
        <f>G353</f>
        <v>43</v>
      </c>
      <c r="G346" s="305">
        <v>23</v>
      </c>
      <c r="H346" s="43" t="s">
        <v>301</v>
      </c>
      <c r="I346" s="43" t="s">
        <v>302</v>
      </c>
    </row>
    <row r="347" spans="1:10" x14ac:dyDescent="0.25">
      <c r="A347" s="10"/>
      <c r="B347" s="11"/>
      <c r="C347" s="11"/>
      <c r="D347" s="302" t="s">
        <v>294</v>
      </c>
      <c r="E347" s="303">
        <f>+SUM(E348:E350)</f>
        <v>38</v>
      </c>
      <c r="F347" s="304">
        <f>+SUM(F348:F350)</f>
        <v>15</v>
      </c>
      <c r="G347" s="305">
        <f>+SUM(G348:G350)</f>
        <v>22</v>
      </c>
      <c r="H347" s="43" t="s">
        <v>301</v>
      </c>
      <c r="I347" s="43" t="s">
        <v>302</v>
      </c>
    </row>
    <row r="348" spans="1:10" x14ac:dyDescent="0.25">
      <c r="A348" s="10"/>
      <c r="B348" s="11"/>
      <c r="C348" s="11"/>
      <c r="D348" s="306" t="s">
        <v>295</v>
      </c>
      <c r="E348" s="307">
        <v>10</v>
      </c>
      <c r="F348" s="308">
        <v>10</v>
      </c>
      <c r="G348" s="309">
        <v>4</v>
      </c>
      <c r="H348" s="43" t="s">
        <v>303</v>
      </c>
      <c r="I348" s="43" t="s">
        <v>40</v>
      </c>
    </row>
    <row r="349" spans="1:10" x14ac:dyDescent="0.25">
      <c r="A349" s="10"/>
      <c r="B349" s="11"/>
      <c r="C349" s="11"/>
      <c r="D349" s="306" t="s">
        <v>296</v>
      </c>
      <c r="E349" s="307">
        <v>0</v>
      </c>
      <c r="F349" s="308">
        <v>-15</v>
      </c>
      <c r="G349" s="309">
        <v>0</v>
      </c>
      <c r="H349" s="43" t="s">
        <v>301</v>
      </c>
      <c r="I349" s="43" t="s">
        <v>302</v>
      </c>
    </row>
    <row r="350" spans="1:10" x14ac:dyDescent="0.25">
      <c r="A350" s="10"/>
      <c r="B350" s="11"/>
      <c r="C350" s="11"/>
      <c r="D350" s="306" t="s">
        <v>297</v>
      </c>
      <c r="E350" s="307">
        <f>36-8</f>
        <v>28</v>
      </c>
      <c r="F350" s="308">
        <v>20</v>
      </c>
      <c r="G350" s="309">
        <v>18</v>
      </c>
      <c r="H350" s="43" t="s">
        <v>303</v>
      </c>
      <c r="I350" s="43" t="s">
        <v>40</v>
      </c>
    </row>
    <row r="351" spans="1:10" x14ac:dyDescent="0.25">
      <c r="A351" s="10"/>
      <c r="B351" s="11"/>
      <c r="C351" s="11"/>
      <c r="D351" s="302" t="s">
        <v>195</v>
      </c>
      <c r="E351" s="303">
        <v>1</v>
      </c>
      <c r="F351" s="304">
        <v>-3</v>
      </c>
      <c r="G351" s="305">
        <v>0</v>
      </c>
      <c r="H351" s="43" t="s">
        <v>301</v>
      </c>
      <c r="I351" s="43" t="s">
        <v>302</v>
      </c>
    </row>
    <row r="352" spans="1:10" x14ac:dyDescent="0.25">
      <c r="A352" s="10"/>
      <c r="B352" s="11"/>
      <c r="C352" s="11"/>
      <c r="D352" s="302" t="s">
        <v>129</v>
      </c>
      <c r="E352" s="310">
        <f>4</f>
        <v>4</v>
      </c>
      <c r="F352" s="311">
        <v>0</v>
      </c>
      <c r="G352" s="312">
        <v>-2</v>
      </c>
      <c r="H352" s="43" t="s">
        <v>304</v>
      </c>
      <c r="I352" s="43" t="s">
        <v>302</v>
      </c>
    </row>
    <row r="353" spans="1:9" ht="15.75" thickBot="1" x14ac:dyDescent="0.3">
      <c r="A353" s="10"/>
      <c r="B353" s="11"/>
      <c r="C353" s="11"/>
      <c r="D353" s="302" t="s">
        <v>298</v>
      </c>
      <c r="E353" s="313">
        <f>SUM(E351:E352,E346:E347)</f>
        <v>98</v>
      </c>
      <c r="F353" s="314">
        <f>SUM(F351:F352,F346:F347)</f>
        <v>55</v>
      </c>
      <c r="G353" s="315">
        <f>SUM(G351:G352,G346:G347)</f>
        <v>43</v>
      </c>
      <c r="H353" s="43" t="s">
        <v>305</v>
      </c>
      <c r="I353" s="43" t="s">
        <v>302</v>
      </c>
    </row>
    <row r="354" spans="1:9" ht="15.75" thickTop="1" x14ac:dyDescent="0.25">
      <c r="A354" s="10"/>
      <c r="B354" s="11"/>
      <c r="C354" s="11"/>
      <c r="D354" s="316"/>
      <c r="E354" s="317"/>
      <c r="F354" s="318"/>
      <c r="G354" s="319"/>
      <c r="H354" s="43"/>
      <c r="I354" s="43"/>
    </row>
    <row r="355" spans="1:9" x14ac:dyDescent="0.25">
      <c r="A355" s="10"/>
      <c r="B355" s="11"/>
      <c r="C355" s="11"/>
      <c r="D355" s="297" t="s">
        <v>306</v>
      </c>
      <c r="E355" s="298"/>
      <c r="F355" s="299"/>
      <c r="G355" s="300"/>
      <c r="H355" s="301"/>
      <c r="I355" s="301"/>
    </row>
    <row r="356" spans="1:9" x14ac:dyDescent="0.25">
      <c r="A356" s="10"/>
      <c r="B356" s="11"/>
      <c r="C356" s="11"/>
      <c r="D356" s="302" t="s">
        <v>189</v>
      </c>
      <c r="E356" s="303">
        <f>F364</f>
        <v>36</v>
      </c>
      <c r="F356" s="304">
        <f>G364</f>
        <v>45</v>
      </c>
      <c r="G356" s="305">
        <v>30</v>
      </c>
      <c r="H356" s="43"/>
      <c r="I356" s="43" t="s">
        <v>307</v>
      </c>
    </row>
    <row r="357" spans="1:9" x14ac:dyDescent="0.25">
      <c r="A357" s="10"/>
      <c r="B357" s="11"/>
      <c r="C357" s="11"/>
      <c r="D357" s="302" t="s">
        <v>308</v>
      </c>
      <c r="E357" s="303">
        <f>+SUM(E358:E360)</f>
        <v>43</v>
      </c>
      <c r="F357" s="304">
        <f>+SUM(F358:F360)</f>
        <v>-12</v>
      </c>
      <c r="G357" s="305">
        <f>+SUM(G358:G360)</f>
        <v>12</v>
      </c>
      <c r="H357" s="43"/>
      <c r="I357" s="43"/>
    </row>
    <row r="358" spans="1:9" x14ac:dyDescent="0.25">
      <c r="A358" s="10"/>
      <c r="B358" s="11"/>
      <c r="C358" s="11"/>
      <c r="D358" s="306" t="s">
        <v>295</v>
      </c>
      <c r="E358" s="307">
        <v>0</v>
      </c>
      <c r="F358" s="308">
        <v>0</v>
      </c>
      <c r="G358" s="309">
        <v>13</v>
      </c>
      <c r="H358" s="43" t="s">
        <v>279</v>
      </c>
      <c r="I358" s="43" t="s">
        <v>309</v>
      </c>
    </row>
    <row r="359" spans="1:9" x14ac:dyDescent="0.25">
      <c r="A359" s="10"/>
      <c r="B359" s="11"/>
      <c r="C359" s="11"/>
      <c r="D359" s="306" t="s">
        <v>296</v>
      </c>
      <c r="E359" s="307">
        <v>0</v>
      </c>
      <c r="F359" s="308">
        <v>0</v>
      </c>
      <c r="G359" s="309">
        <v>0</v>
      </c>
      <c r="H359" s="43" t="s">
        <v>310</v>
      </c>
      <c r="I359" s="43" t="s">
        <v>309</v>
      </c>
    </row>
    <row r="360" spans="1:9" x14ac:dyDescent="0.25">
      <c r="A360" s="10"/>
      <c r="B360" s="11"/>
      <c r="C360" s="11"/>
      <c r="D360" s="306" t="s">
        <v>297</v>
      </c>
      <c r="E360" s="307">
        <v>43</v>
      </c>
      <c r="F360" s="308">
        <v>-12</v>
      </c>
      <c r="G360" s="309">
        <v>-1</v>
      </c>
      <c r="H360" s="43" t="s">
        <v>310</v>
      </c>
      <c r="I360" s="43" t="s">
        <v>309</v>
      </c>
    </row>
    <row r="361" spans="1:9" x14ac:dyDescent="0.25">
      <c r="A361" s="10"/>
      <c r="B361" s="11"/>
      <c r="C361" s="11"/>
      <c r="D361" s="302" t="s">
        <v>311</v>
      </c>
      <c r="E361" s="303">
        <v>0</v>
      </c>
      <c r="F361" s="304">
        <v>0</v>
      </c>
      <c r="G361" s="305">
        <v>9</v>
      </c>
      <c r="H361" s="66"/>
      <c r="I361" s="66" t="s">
        <v>312</v>
      </c>
    </row>
    <row r="362" spans="1:9" x14ac:dyDescent="0.25">
      <c r="A362" s="10"/>
      <c r="B362" s="11"/>
      <c r="C362" s="11"/>
      <c r="D362" s="302" t="s">
        <v>195</v>
      </c>
      <c r="E362" s="303">
        <f>2-2</f>
        <v>0</v>
      </c>
      <c r="F362" s="304">
        <f>6-5</f>
        <v>1</v>
      </c>
      <c r="G362" s="305">
        <v>-6</v>
      </c>
      <c r="H362" s="43" t="s">
        <v>310</v>
      </c>
      <c r="I362" s="43" t="s">
        <v>307</v>
      </c>
    </row>
    <row r="363" spans="1:9" x14ac:dyDescent="0.25">
      <c r="A363" s="10"/>
      <c r="B363" s="11"/>
      <c r="C363" s="11"/>
      <c r="D363" s="302" t="s">
        <v>129</v>
      </c>
      <c r="E363" s="310">
        <v>0</v>
      </c>
      <c r="F363" s="311">
        <v>2</v>
      </c>
      <c r="G363" s="312">
        <v>0</v>
      </c>
      <c r="H363" s="43" t="s">
        <v>310</v>
      </c>
      <c r="I363" s="43"/>
    </row>
    <row r="364" spans="1:9" ht="15.75" thickBot="1" x14ac:dyDescent="0.3">
      <c r="A364" s="10"/>
      <c r="B364" s="11"/>
      <c r="C364" s="11"/>
      <c r="D364" s="302" t="s">
        <v>298</v>
      </c>
      <c r="E364" s="313">
        <f>SUM(E361:E363,E356:E357)</f>
        <v>79</v>
      </c>
      <c r="F364" s="314">
        <f>SUM(F361:F363,F356:F357)</f>
        <v>36</v>
      </c>
      <c r="G364" s="315">
        <f>SUM(G361:G363,G356:G357)</f>
        <v>45</v>
      </c>
      <c r="H364" s="43"/>
      <c r="I364" s="43" t="s">
        <v>307</v>
      </c>
    </row>
    <row r="365" spans="1:9" ht="15.75" thickTop="1" x14ac:dyDescent="0.25">
      <c r="A365" s="10"/>
      <c r="B365" s="11"/>
      <c r="C365" s="11"/>
      <c r="D365" s="190"/>
      <c r="E365" s="84"/>
      <c r="F365" s="85"/>
      <c r="G365" s="86"/>
      <c r="H365" s="120"/>
      <c r="I365" s="120"/>
    </row>
    <row r="366" spans="1:9" ht="14.65" customHeight="1" x14ac:dyDescent="0.25">
      <c r="A366" s="10"/>
      <c r="B366" s="11"/>
      <c r="C366" s="11"/>
      <c r="D366" s="33"/>
      <c r="E366" s="100"/>
      <c r="F366" s="101"/>
      <c r="G366" s="102"/>
      <c r="H366" s="120"/>
      <c r="I366" s="120"/>
    </row>
    <row r="367" spans="1:9" ht="14.65" customHeight="1" x14ac:dyDescent="0.25">
      <c r="A367" s="10"/>
      <c r="B367" s="11"/>
      <c r="C367" s="104" t="s">
        <v>313</v>
      </c>
      <c r="D367" s="105"/>
      <c r="E367" s="106"/>
      <c r="F367" s="107"/>
      <c r="G367" s="108"/>
      <c r="H367" s="109"/>
      <c r="I367" s="109"/>
    </row>
    <row r="368" spans="1:9" ht="14.65" customHeight="1" x14ac:dyDescent="0.25">
      <c r="A368" s="10"/>
      <c r="B368" s="11"/>
      <c r="C368" s="11"/>
      <c r="D368" s="190" t="s">
        <v>189</v>
      </c>
      <c r="E368" s="153">
        <f>E381+F356+F361-4</f>
        <v>62</v>
      </c>
      <c r="F368" s="154">
        <f>F381+G356+G361-4</f>
        <v>40</v>
      </c>
      <c r="G368" s="191">
        <f>G381+G356-4</f>
        <v>513</v>
      </c>
      <c r="H368" s="120"/>
      <c r="I368" s="120"/>
    </row>
    <row r="369" spans="1:9" ht="14.65" customHeight="1" x14ac:dyDescent="0.25">
      <c r="A369" s="10"/>
      <c r="B369" s="11"/>
      <c r="C369" s="11"/>
      <c r="D369" s="190" t="s">
        <v>294</v>
      </c>
      <c r="E369" s="153">
        <f>+SUM(E370:E372)</f>
        <v>121</v>
      </c>
      <c r="F369" s="154">
        <f>+SUM(F370:F372)</f>
        <v>16</v>
      </c>
      <c r="G369" s="191">
        <f>+SUM(G370:G372)</f>
        <v>-473</v>
      </c>
      <c r="H369" s="120"/>
      <c r="I369" s="120"/>
    </row>
    <row r="370" spans="1:9" ht="14.65" customHeight="1" x14ac:dyDescent="0.25">
      <c r="A370" s="10"/>
      <c r="B370" s="11"/>
      <c r="C370" s="11"/>
      <c r="D370" s="121" t="s">
        <v>295</v>
      </c>
      <c r="E370" s="122">
        <f t="shared" ref="E370:G371" si="18">E383</f>
        <v>0</v>
      </c>
      <c r="F370" s="123">
        <f t="shared" si="18"/>
        <v>0</v>
      </c>
      <c r="G370" s="320">
        <f t="shared" si="18"/>
        <v>0</v>
      </c>
      <c r="H370" s="120"/>
      <c r="I370" s="120"/>
    </row>
    <row r="371" spans="1:9" ht="14.65" customHeight="1" x14ac:dyDescent="0.25">
      <c r="A371" s="10"/>
      <c r="B371" s="11"/>
      <c r="C371" s="11"/>
      <c r="D371" s="121" t="s">
        <v>296</v>
      </c>
      <c r="E371" s="122">
        <f t="shared" si="18"/>
        <v>0</v>
      </c>
      <c r="F371" s="123">
        <f t="shared" si="18"/>
        <v>0</v>
      </c>
      <c r="G371" s="124">
        <f t="shared" si="18"/>
        <v>0</v>
      </c>
      <c r="H371" s="120"/>
      <c r="I371" s="120"/>
    </row>
    <row r="372" spans="1:9" ht="14.65" customHeight="1" x14ac:dyDescent="0.25">
      <c r="A372" s="10"/>
      <c r="B372" s="11"/>
      <c r="C372" s="11"/>
      <c r="D372" s="121" t="s">
        <v>297</v>
      </c>
      <c r="E372" s="122">
        <f>E385+E361</f>
        <v>121</v>
      </c>
      <c r="F372" s="123">
        <f>F385+F361</f>
        <v>16</v>
      </c>
      <c r="G372" s="124">
        <f>G385+G361</f>
        <v>-473</v>
      </c>
      <c r="H372" s="120"/>
      <c r="I372" s="120"/>
    </row>
    <row r="373" spans="1:9" ht="14.65" customHeight="1" x14ac:dyDescent="0.25">
      <c r="A373" s="10"/>
      <c r="B373" s="11"/>
      <c r="C373" s="11"/>
      <c r="D373" s="190" t="s">
        <v>195</v>
      </c>
      <c r="E373" s="153">
        <f>E386</f>
        <v>0</v>
      </c>
      <c r="F373" s="154">
        <f>F386</f>
        <v>0</v>
      </c>
      <c r="G373" s="191">
        <f>G386</f>
        <v>0</v>
      </c>
      <c r="H373" s="120"/>
      <c r="I373" s="120"/>
    </row>
    <row r="374" spans="1:9" ht="14.65" customHeight="1" x14ac:dyDescent="0.25">
      <c r="A374" s="10"/>
      <c r="B374" s="11"/>
      <c r="C374" s="11"/>
      <c r="D374" s="190" t="s">
        <v>129</v>
      </c>
      <c r="E374" s="153">
        <f>E387</f>
        <v>0</v>
      </c>
      <c r="F374" s="154">
        <f>+F387</f>
        <v>0</v>
      </c>
      <c r="G374" s="191">
        <f>G387</f>
        <v>0</v>
      </c>
      <c r="H374" s="120"/>
      <c r="I374" s="120"/>
    </row>
    <row r="375" spans="1:9" ht="14.65" customHeight="1" thickBot="1" x14ac:dyDescent="0.3">
      <c r="A375" s="10"/>
      <c r="B375" s="11"/>
      <c r="C375" s="11"/>
      <c r="D375" s="190" t="s">
        <v>298</v>
      </c>
      <c r="E375" s="262">
        <f>SUM(E373:E374,E368:E369)</f>
        <v>183</v>
      </c>
      <c r="F375" s="263">
        <f>SUM(F373:F374,F368:F369)</f>
        <v>56</v>
      </c>
      <c r="G375" s="219">
        <f>SUM(G373:G374,G368:G369)</f>
        <v>40</v>
      </c>
      <c r="H375" s="120"/>
      <c r="I375" s="120"/>
    </row>
    <row r="376" spans="1:9" ht="15.75" thickTop="1" x14ac:dyDescent="0.25">
      <c r="A376" s="10"/>
      <c r="B376" s="11"/>
      <c r="C376" s="11"/>
      <c r="D376" s="33"/>
      <c r="E376" s="84" t="b">
        <f>+E375=SUM(E373:E374,E368:E369)</f>
        <v>1</v>
      </c>
      <c r="F376" s="85" t="b">
        <f>+F375=SUM(F373:F374,F368:F369)</f>
        <v>1</v>
      </c>
      <c r="G376" s="86" t="b">
        <f>+G375=SUM(G373:G374,G368:G369)</f>
        <v>1</v>
      </c>
      <c r="H376" s="120"/>
      <c r="I376" s="120"/>
    </row>
    <row r="377" spans="1:9" x14ac:dyDescent="0.25">
      <c r="A377" s="10"/>
      <c r="B377" s="11"/>
      <c r="C377" s="11"/>
      <c r="D377" s="33"/>
      <c r="E377" s="84" t="b">
        <f>SUM(E370:E372)=E369</f>
        <v>1</v>
      </c>
      <c r="F377" s="85" t="b">
        <f>SUM(F370:F372)=F369</f>
        <v>1</v>
      </c>
      <c r="G377" s="86" t="b">
        <f>SUM(G370:G372)=G369</f>
        <v>1</v>
      </c>
      <c r="H377" s="120"/>
      <c r="I377" s="120"/>
    </row>
    <row r="378" spans="1:9" x14ac:dyDescent="0.25">
      <c r="A378" s="10"/>
      <c r="B378" s="11"/>
      <c r="C378" s="11"/>
      <c r="D378" s="33"/>
      <c r="E378" s="84" t="b">
        <f>ROUND(E369,0)=-ROUND(E106,0)</f>
        <v>1</v>
      </c>
      <c r="F378" s="85" t="b">
        <f>ROUND(F369,0)=-ROUND(F106,0)</f>
        <v>0</v>
      </c>
      <c r="G378" s="86" t="b">
        <f>ROUND(G369,0)=-ROUND(G106,0)</f>
        <v>1</v>
      </c>
      <c r="H378" s="120"/>
      <c r="I378" s="120"/>
    </row>
    <row r="379" spans="1:9" x14ac:dyDescent="0.25">
      <c r="A379" s="10"/>
      <c r="B379" s="11"/>
      <c r="C379" s="11"/>
      <c r="D379" s="33"/>
      <c r="E379" s="100"/>
      <c r="F379" s="101"/>
      <c r="G379" s="102"/>
      <c r="H379" s="120"/>
      <c r="I379" s="120"/>
    </row>
    <row r="380" spans="1:9" x14ac:dyDescent="0.25">
      <c r="A380" s="10"/>
      <c r="B380" s="11"/>
      <c r="C380" s="11"/>
      <c r="D380" s="297" t="s">
        <v>314</v>
      </c>
      <c r="E380" s="298"/>
      <c r="F380" s="299"/>
      <c r="G380" s="300"/>
      <c r="H380" s="301"/>
      <c r="I380" s="301"/>
    </row>
    <row r="381" spans="1:9" x14ac:dyDescent="0.25">
      <c r="A381" s="10"/>
      <c r="B381" s="11"/>
      <c r="C381" s="11"/>
      <c r="D381" s="302" t="s">
        <v>189</v>
      </c>
      <c r="E381" s="303">
        <v>21</v>
      </c>
      <c r="F381" s="304">
        <v>5</v>
      </c>
      <c r="G381" s="305">
        <v>487</v>
      </c>
      <c r="H381" s="88" t="s">
        <v>315</v>
      </c>
      <c r="I381" s="43" t="s">
        <v>316</v>
      </c>
    </row>
    <row r="382" spans="1:9" x14ac:dyDescent="0.25">
      <c r="A382" s="10"/>
      <c r="B382" s="11"/>
      <c r="C382" s="11"/>
      <c r="D382" s="302" t="s">
        <v>294</v>
      </c>
      <c r="E382" s="303">
        <f>+SUM(E383:E385)</f>
        <v>121</v>
      </c>
      <c r="F382" s="304">
        <f>+SUM(F383:F385)</f>
        <v>16</v>
      </c>
      <c r="G382" s="305">
        <f>+SUM(G383:G385)</f>
        <v>-482</v>
      </c>
      <c r="H382" s="88" t="s">
        <v>315</v>
      </c>
      <c r="I382" s="43" t="s">
        <v>316</v>
      </c>
    </row>
    <row r="383" spans="1:9" x14ac:dyDescent="0.25">
      <c r="A383" s="10"/>
      <c r="B383" s="11"/>
      <c r="C383" s="11"/>
      <c r="D383" s="306" t="s">
        <v>295</v>
      </c>
      <c r="E383" s="307">
        <v>0</v>
      </c>
      <c r="F383" s="308">
        <v>0</v>
      </c>
      <c r="G383" s="309">
        <v>0</v>
      </c>
      <c r="H383" s="88" t="s">
        <v>315</v>
      </c>
      <c r="I383" s="43" t="s">
        <v>316</v>
      </c>
    </row>
    <row r="384" spans="1:9" x14ac:dyDescent="0.25">
      <c r="A384" s="10"/>
      <c r="B384" s="11"/>
      <c r="C384" s="11"/>
      <c r="D384" s="306" t="s">
        <v>296</v>
      </c>
      <c r="E384" s="307">
        <v>0</v>
      </c>
      <c r="F384" s="308">
        <v>0</v>
      </c>
      <c r="G384" s="309">
        <v>0</v>
      </c>
      <c r="H384" s="88" t="s">
        <v>315</v>
      </c>
      <c r="I384" s="43" t="s">
        <v>316</v>
      </c>
    </row>
    <row r="385" spans="1:9" x14ac:dyDescent="0.25">
      <c r="A385" s="10"/>
      <c r="B385" s="11"/>
      <c r="C385" s="11"/>
      <c r="D385" s="306" t="s">
        <v>297</v>
      </c>
      <c r="E385" s="307">
        <v>121</v>
      </c>
      <c r="F385" s="308">
        <v>16</v>
      </c>
      <c r="G385" s="309">
        <v>-482</v>
      </c>
      <c r="H385" s="242" t="s">
        <v>317</v>
      </c>
      <c r="I385" s="242" t="s">
        <v>318</v>
      </c>
    </row>
    <row r="386" spans="1:9" x14ac:dyDescent="0.25">
      <c r="A386" s="10"/>
      <c r="B386" s="11"/>
      <c r="C386" s="11"/>
      <c r="D386" s="302" t="s">
        <v>195</v>
      </c>
      <c r="E386" s="303">
        <v>0</v>
      </c>
      <c r="F386" s="304">
        <v>0</v>
      </c>
      <c r="G386" s="305">
        <v>0</v>
      </c>
      <c r="H386" s="88" t="s">
        <v>315</v>
      </c>
      <c r="I386" s="43" t="s">
        <v>316</v>
      </c>
    </row>
    <row r="387" spans="1:9" x14ac:dyDescent="0.25">
      <c r="A387" s="10"/>
      <c r="B387" s="11"/>
      <c r="C387" s="11"/>
      <c r="D387" s="302" t="s">
        <v>129</v>
      </c>
      <c r="E387" s="310">
        <v>0</v>
      </c>
      <c r="F387" s="311">
        <v>0</v>
      </c>
      <c r="G387" s="312">
        <v>0</v>
      </c>
      <c r="H387" s="88" t="s">
        <v>315</v>
      </c>
      <c r="I387" s="43" t="s">
        <v>316</v>
      </c>
    </row>
    <row r="388" spans="1:9" ht="15.75" thickBot="1" x14ac:dyDescent="0.3">
      <c r="A388" s="10"/>
      <c r="B388" s="11"/>
      <c r="C388" s="11"/>
      <c r="D388" s="302" t="s">
        <v>298</v>
      </c>
      <c r="E388" s="313">
        <f>SUM(E386:E387,E381:E382)</f>
        <v>142</v>
      </c>
      <c r="F388" s="314">
        <f>SUM(F386:F387,F381:F382)</f>
        <v>21</v>
      </c>
      <c r="G388" s="315">
        <f>SUM(G386:G387,G381:G382)</f>
        <v>5</v>
      </c>
      <c r="H388" s="88" t="s">
        <v>315</v>
      </c>
      <c r="I388" s="43" t="s">
        <v>316</v>
      </c>
    </row>
    <row r="389" spans="1:9" ht="15.75" thickTop="1" x14ac:dyDescent="0.25">
      <c r="A389" s="10"/>
      <c r="B389" s="11"/>
      <c r="C389" s="11"/>
      <c r="D389" s="33"/>
      <c r="E389" s="100"/>
      <c r="F389" s="101"/>
      <c r="G389" s="102"/>
      <c r="H389" s="120"/>
      <c r="I389" s="120"/>
    </row>
    <row r="390" spans="1:9" x14ac:dyDescent="0.25">
      <c r="A390" s="10"/>
      <c r="B390" s="11"/>
      <c r="C390" s="104" t="s">
        <v>319</v>
      </c>
      <c r="D390" s="105"/>
      <c r="E390" s="106"/>
      <c r="F390" s="107"/>
      <c r="G390" s="108"/>
      <c r="H390" s="109"/>
      <c r="I390" s="109"/>
    </row>
    <row r="391" spans="1:9" x14ac:dyDescent="0.25">
      <c r="A391" s="10"/>
      <c r="B391" s="11"/>
      <c r="C391" s="11"/>
      <c r="D391" s="190" t="s">
        <v>320</v>
      </c>
      <c r="E391" s="321">
        <f>-E100</f>
        <v>0</v>
      </c>
      <c r="F391" s="322">
        <f>-F100</f>
        <v>0</v>
      </c>
      <c r="G391" s="323">
        <f>-G100</f>
        <v>0</v>
      </c>
      <c r="H391" s="324"/>
      <c r="I391" s="324" t="s">
        <v>321</v>
      </c>
    </row>
    <row r="392" spans="1:9" x14ac:dyDescent="0.25">
      <c r="A392" s="10"/>
      <c r="B392" s="11"/>
      <c r="C392" s="11"/>
      <c r="D392" s="190" t="s">
        <v>322</v>
      </c>
      <c r="E392" s="321">
        <f>-E104</f>
        <v>0</v>
      </c>
      <c r="F392" s="322">
        <f>-F104</f>
        <v>0</v>
      </c>
      <c r="G392" s="323">
        <f>-G104</f>
        <v>0</v>
      </c>
      <c r="H392" s="324"/>
      <c r="I392" s="324" t="s">
        <v>323</v>
      </c>
    </row>
    <row r="393" spans="1:9" x14ac:dyDescent="0.25">
      <c r="A393" s="10"/>
      <c r="B393" s="11"/>
      <c r="C393" s="11"/>
      <c r="D393" s="190" t="s">
        <v>324</v>
      </c>
      <c r="E393" s="321">
        <f>-E184</f>
        <v>865</v>
      </c>
      <c r="F393" s="322">
        <f>-F184</f>
        <v>790</v>
      </c>
      <c r="G393" s="323">
        <f>-G184</f>
        <v>693</v>
      </c>
      <c r="H393" s="128"/>
      <c r="I393" s="128" t="s">
        <v>321</v>
      </c>
    </row>
    <row r="394" spans="1:9" ht="15.75" thickBot="1" x14ac:dyDescent="0.3">
      <c r="A394" s="10"/>
      <c r="B394" s="11"/>
      <c r="C394" s="11"/>
      <c r="D394" s="190"/>
      <c r="E394" s="325">
        <f>SUM(E391:E393)</f>
        <v>865</v>
      </c>
      <c r="F394" s="326">
        <f>SUM(F391:F393)</f>
        <v>790</v>
      </c>
      <c r="G394" s="327">
        <f>SUM(G391:G393)</f>
        <v>693</v>
      </c>
      <c r="H394" s="120"/>
      <c r="I394" s="120"/>
    </row>
    <row r="395" spans="1:9" ht="15.75" thickTop="1" x14ac:dyDescent="0.25">
      <c r="A395" s="10"/>
      <c r="B395" s="11"/>
      <c r="C395" s="11"/>
      <c r="D395" s="190"/>
      <c r="E395" s="328"/>
      <c r="F395" s="329"/>
      <c r="G395" s="330"/>
      <c r="H395" s="120"/>
      <c r="I395" s="120"/>
    </row>
    <row r="396" spans="1:9" x14ac:dyDescent="0.25">
      <c r="A396" s="10"/>
      <c r="B396" s="11"/>
      <c r="C396" s="11"/>
      <c r="D396" s="190" t="s">
        <v>325</v>
      </c>
      <c r="E396" s="321">
        <f>-E99</f>
        <v>1629</v>
      </c>
      <c r="F396" s="322">
        <f>-F99</f>
        <v>1967</v>
      </c>
      <c r="G396" s="323">
        <f>-G99</f>
        <v>2003</v>
      </c>
      <c r="H396" s="324"/>
      <c r="I396" s="324" t="s">
        <v>321</v>
      </c>
    </row>
    <row r="397" spans="1:9" x14ac:dyDescent="0.25">
      <c r="A397" s="10"/>
      <c r="B397" s="11"/>
      <c r="C397" s="11"/>
      <c r="D397" s="190" t="s">
        <v>326</v>
      </c>
      <c r="E397" s="321">
        <f>-E103</f>
        <v>22600</v>
      </c>
      <c r="F397" s="322">
        <f>-F103</f>
        <v>19796</v>
      </c>
      <c r="G397" s="323">
        <f>-G103</f>
        <v>18340</v>
      </c>
      <c r="H397" s="324"/>
      <c r="I397" s="324" t="s">
        <v>323</v>
      </c>
    </row>
    <row r="398" spans="1:9" x14ac:dyDescent="0.25">
      <c r="A398" s="10"/>
      <c r="B398" s="11"/>
      <c r="C398" s="11"/>
      <c r="D398" s="190" t="s">
        <v>327</v>
      </c>
      <c r="E398" s="321">
        <f>SUM(E402:E404)</f>
        <v>1321</v>
      </c>
      <c r="F398" s="322">
        <f>SUM(F402:F404)</f>
        <v>913</v>
      </c>
      <c r="G398" s="323">
        <f>SUM(G402:G404)</f>
        <v>1228</v>
      </c>
      <c r="H398" s="43"/>
      <c r="I398" s="43" t="s">
        <v>328</v>
      </c>
    </row>
    <row r="399" spans="1:9" ht="15.75" thickBot="1" x14ac:dyDescent="0.3">
      <c r="A399" s="10"/>
      <c r="B399" s="11"/>
      <c r="C399" s="11"/>
      <c r="D399" s="190"/>
      <c r="E399" s="325">
        <f>SUM(E396:E398)</f>
        <v>25550</v>
      </c>
      <c r="F399" s="326">
        <f>SUM(F396:F398)</f>
        <v>22676</v>
      </c>
      <c r="G399" s="327">
        <f>SUM(G396:G398)</f>
        <v>21571</v>
      </c>
      <c r="H399" s="120"/>
      <c r="I399" s="120"/>
    </row>
    <row r="400" spans="1:9" ht="15.75" thickTop="1" x14ac:dyDescent="0.25">
      <c r="A400" s="10"/>
      <c r="B400" s="11"/>
      <c r="C400" s="11"/>
      <c r="D400" s="190"/>
      <c r="E400" s="211"/>
      <c r="F400" s="212"/>
      <c r="G400" s="213"/>
      <c r="H400" s="120"/>
      <c r="I400" s="120"/>
    </row>
    <row r="401" spans="1:9" hidden="1" outlineLevel="1" x14ac:dyDescent="0.25">
      <c r="A401" s="10"/>
      <c r="B401" s="11"/>
      <c r="C401" s="223" t="s">
        <v>329</v>
      </c>
      <c r="D401" s="224"/>
      <c r="E401" s="225"/>
      <c r="F401" s="226"/>
      <c r="G401" s="227"/>
      <c r="H401" s="228"/>
      <c r="I401" s="228"/>
    </row>
    <row r="402" spans="1:9" hidden="1" outlineLevel="1" x14ac:dyDescent="0.25">
      <c r="A402" s="10"/>
      <c r="B402" s="11"/>
      <c r="C402" s="331"/>
      <c r="D402" s="234" t="s">
        <v>330</v>
      </c>
      <c r="E402" s="235">
        <v>0</v>
      </c>
      <c r="F402" s="236">
        <v>0</v>
      </c>
      <c r="G402" s="237">
        <v>0</v>
      </c>
      <c r="H402" s="48"/>
      <c r="I402" s="48"/>
    </row>
    <row r="403" spans="1:9" hidden="1" outlineLevel="1" x14ac:dyDescent="0.25">
      <c r="A403" s="10"/>
      <c r="B403" s="11"/>
      <c r="C403" s="11"/>
      <c r="D403" s="234" t="s">
        <v>331</v>
      </c>
      <c r="E403" s="235">
        <v>1320</v>
      </c>
      <c r="F403" s="236">
        <v>912</v>
      </c>
      <c r="G403" s="237">
        <v>1228</v>
      </c>
      <c r="H403" s="48" t="s">
        <v>301</v>
      </c>
      <c r="I403" s="48" t="s">
        <v>332</v>
      </c>
    </row>
    <row r="404" spans="1:9" hidden="1" outlineLevel="1" x14ac:dyDescent="0.25">
      <c r="A404" s="10"/>
      <c r="B404" s="11"/>
      <c r="C404" s="11"/>
      <c r="D404" s="234" t="s">
        <v>333</v>
      </c>
      <c r="E404" s="235">
        <v>1</v>
      </c>
      <c r="F404" s="236">
        <v>1</v>
      </c>
      <c r="G404" s="237">
        <v>0</v>
      </c>
      <c r="H404" s="48" t="s">
        <v>317</v>
      </c>
      <c r="I404" s="48" t="s">
        <v>316</v>
      </c>
    </row>
    <row r="405" spans="1:9" hidden="1" outlineLevel="1" x14ac:dyDescent="0.25">
      <c r="A405" s="10"/>
      <c r="B405" s="11"/>
      <c r="C405" s="11"/>
      <c r="D405" s="190"/>
      <c r="E405" s="211"/>
      <c r="F405" s="212"/>
      <c r="G405" s="213"/>
      <c r="H405" s="120"/>
      <c r="I405" s="120"/>
    </row>
    <row r="406" spans="1:9" collapsed="1" x14ac:dyDescent="0.25">
      <c r="A406" s="10"/>
      <c r="B406" s="11"/>
      <c r="C406" s="104" t="s">
        <v>334</v>
      </c>
      <c r="D406" s="105"/>
      <c r="E406" s="106"/>
      <c r="F406" s="107"/>
      <c r="G406" s="108"/>
      <c r="H406" s="109"/>
      <c r="I406" s="109"/>
    </row>
    <row r="407" spans="1:9" x14ac:dyDescent="0.25">
      <c r="A407" s="10"/>
      <c r="B407" s="11"/>
      <c r="C407" s="11"/>
      <c r="D407" s="190" t="s">
        <v>335</v>
      </c>
      <c r="E407" s="332">
        <f>+E416-E410</f>
        <v>19360</v>
      </c>
      <c r="F407" s="333">
        <f>+F416-F410</f>
        <v>17350</v>
      </c>
      <c r="G407" s="334">
        <f>21088-G410</f>
        <v>16511</v>
      </c>
      <c r="H407" s="43" t="s">
        <v>336</v>
      </c>
      <c r="I407" s="43" t="s">
        <v>337</v>
      </c>
    </row>
    <row r="408" spans="1:9" x14ac:dyDescent="0.25">
      <c r="A408" s="10"/>
      <c r="B408" s="11"/>
      <c r="C408" s="87">
        <f>+(E408-F408)/F408</f>
        <v>-0.14814814814814814</v>
      </c>
      <c r="D408" s="306" t="s">
        <v>338</v>
      </c>
      <c r="E408" s="307">
        <f>648+2100-E411-E412</f>
        <v>736</v>
      </c>
      <c r="F408" s="308">
        <v>864</v>
      </c>
      <c r="G408" s="309">
        <v>856</v>
      </c>
      <c r="H408" s="43" t="s">
        <v>339</v>
      </c>
      <c r="I408" s="43" t="s">
        <v>316</v>
      </c>
    </row>
    <row r="409" spans="1:9" x14ac:dyDescent="0.25">
      <c r="A409" s="10"/>
      <c r="B409" s="11"/>
      <c r="C409" s="87">
        <f>+(E409-F409)/F409</f>
        <v>0.13302501064930322</v>
      </c>
      <c r="D409" s="306" t="s">
        <v>340</v>
      </c>
      <c r="E409" s="307">
        <f>17663+E412</f>
        <v>18619</v>
      </c>
      <c r="F409" s="308">
        <f>15571+F412</f>
        <v>16433</v>
      </c>
      <c r="G409" s="309">
        <f>14790+G412</f>
        <v>15504</v>
      </c>
      <c r="H409" s="43" t="s">
        <v>341</v>
      </c>
      <c r="I409" s="43" t="s">
        <v>316</v>
      </c>
    </row>
    <row r="410" spans="1:9" x14ac:dyDescent="0.25">
      <c r="A410" s="10"/>
      <c r="B410" s="11"/>
      <c r="C410" s="87">
        <f>+(E410-F410)/F410</f>
        <v>0.11444921316165951</v>
      </c>
      <c r="D410" s="190" t="s">
        <v>342</v>
      </c>
      <c r="E410" s="335">
        <f>4397+E411</f>
        <v>5453</v>
      </c>
      <c r="F410" s="336">
        <f>4044+F411</f>
        <v>4893</v>
      </c>
      <c r="G410" s="165">
        <f>3881+G411</f>
        <v>4577</v>
      </c>
      <c r="H410" s="43" t="s">
        <v>343</v>
      </c>
      <c r="I410" s="43" t="s">
        <v>337</v>
      </c>
    </row>
    <row r="411" spans="1:9" x14ac:dyDescent="0.25">
      <c r="A411" s="10"/>
      <c r="B411" s="11"/>
      <c r="C411" s="337">
        <f>+(E411-F411)/F411</f>
        <v>0.24381625441696114</v>
      </c>
      <c r="D411" s="190" t="s">
        <v>344</v>
      </c>
      <c r="E411" s="338">
        <v>1056</v>
      </c>
      <c r="F411" s="336">
        <v>849</v>
      </c>
      <c r="G411" s="165">
        <v>696</v>
      </c>
      <c r="H411" s="43" t="s">
        <v>345</v>
      </c>
      <c r="I411" s="43" t="s">
        <v>337</v>
      </c>
    </row>
    <row r="412" spans="1:9" x14ac:dyDescent="0.25">
      <c r="A412" s="339"/>
      <c r="B412" s="340"/>
      <c r="C412" s="340"/>
      <c r="D412" s="341" t="s">
        <v>346</v>
      </c>
      <c r="E412" s="335">
        <v>956</v>
      </c>
      <c r="F412" s="342">
        <v>862</v>
      </c>
      <c r="G412" s="343">
        <v>714</v>
      </c>
      <c r="H412" s="344" t="s">
        <v>345</v>
      </c>
      <c r="I412" s="344" t="s">
        <v>337</v>
      </c>
    </row>
    <row r="413" spans="1:9" x14ac:dyDescent="0.25">
      <c r="A413" s="10"/>
      <c r="B413" s="11"/>
      <c r="C413" s="337"/>
      <c r="D413" s="190" t="s">
        <v>347</v>
      </c>
      <c r="E413" s="345"/>
      <c r="G413" s="155"/>
      <c r="H413" s="43"/>
      <c r="I413" s="43"/>
    </row>
    <row r="414" spans="1:9" x14ac:dyDescent="0.25">
      <c r="A414" s="10"/>
      <c r="B414" s="11"/>
      <c r="C414" s="11"/>
      <c r="D414" s="190" t="s">
        <v>348</v>
      </c>
      <c r="E414" s="346"/>
      <c r="F414" s="347"/>
      <c r="G414" s="155"/>
      <c r="H414" s="43"/>
      <c r="I414" s="43"/>
    </row>
    <row r="415" spans="1:9" ht="15.75" thickBot="1" x14ac:dyDescent="0.3">
      <c r="A415" s="10"/>
      <c r="B415" s="11"/>
      <c r="C415" s="11"/>
      <c r="D415" s="348"/>
      <c r="E415" s="262">
        <f>+SUM(E408:E409,E410)</f>
        <v>24808</v>
      </c>
      <c r="F415" s="263">
        <f>+SUM(F408:F409,F410)</f>
        <v>22190</v>
      </c>
      <c r="G415" s="263">
        <f>+SUM(G408:G409,G410)</f>
        <v>20937</v>
      </c>
      <c r="H415" s="120"/>
      <c r="I415" s="120"/>
    </row>
    <row r="416" spans="1:9" ht="15.75" thickTop="1" x14ac:dyDescent="0.25">
      <c r="A416" s="10"/>
      <c r="B416" s="11"/>
      <c r="C416" s="11"/>
      <c r="D416" s="349" t="s">
        <v>349</v>
      </c>
      <c r="E416" s="350">
        <v>24813</v>
      </c>
      <c r="F416" s="351">
        <v>22243</v>
      </c>
      <c r="G416" s="352">
        <v>21088</v>
      </c>
      <c r="H416" s="120"/>
      <c r="I416" s="120"/>
    </row>
    <row r="417" spans="1:9" x14ac:dyDescent="0.25">
      <c r="A417" s="10"/>
      <c r="B417" s="11"/>
      <c r="C417" s="11"/>
      <c r="E417" s="353"/>
      <c r="F417"/>
      <c r="G417"/>
      <c r="H417" s="120"/>
      <c r="I417" s="120"/>
    </row>
    <row r="418" spans="1:9" hidden="1" x14ac:dyDescent="0.25">
      <c r="A418" s="10"/>
      <c r="B418" s="25" t="s">
        <v>350</v>
      </c>
      <c r="C418" s="26"/>
      <c r="D418" s="27"/>
      <c r="E418" s="28"/>
      <c r="F418" s="29"/>
      <c r="G418" s="30"/>
      <c r="H418" s="31"/>
      <c r="I418" s="31"/>
    </row>
    <row r="419" spans="1:9" hidden="1" x14ac:dyDescent="0.25">
      <c r="A419" s="10"/>
      <c r="B419" s="354"/>
      <c r="C419" s="104" t="s">
        <v>351</v>
      </c>
      <c r="D419" s="105"/>
      <c r="E419" s="106"/>
      <c r="F419" s="107"/>
      <c r="G419" s="108"/>
      <c r="H419" s="109"/>
      <c r="I419" s="109"/>
    </row>
    <row r="420" spans="1:9" hidden="1" x14ac:dyDescent="0.25">
      <c r="A420" s="10"/>
      <c r="B420" s="354"/>
      <c r="C420" s="11"/>
      <c r="D420" s="190" t="s">
        <v>352</v>
      </c>
      <c r="E420" s="84"/>
      <c r="F420" s="85"/>
      <c r="G420" s="86"/>
      <c r="H420" s="355"/>
      <c r="I420" s="355"/>
    </row>
    <row r="421" spans="1:9" hidden="1" x14ac:dyDescent="0.25">
      <c r="A421" s="10"/>
      <c r="B421" s="354"/>
      <c r="C421" s="11"/>
      <c r="D421" s="190"/>
      <c r="E421" s="84"/>
      <c r="F421" s="85"/>
      <c r="G421" s="86"/>
      <c r="H421" s="355"/>
      <c r="I421" s="355"/>
    </row>
    <row r="422" spans="1:9" hidden="1" x14ac:dyDescent="0.25">
      <c r="A422" s="10"/>
      <c r="B422" s="354"/>
      <c r="C422" s="11"/>
      <c r="D422" s="190"/>
      <c r="E422" s="84"/>
      <c r="F422" s="85"/>
      <c r="G422" s="86"/>
      <c r="H422" s="355"/>
      <c r="I422" s="355"/>
    </row>
    <row r="423" spans="1:9" hidden="1" x14ac:dyDescent="0.25">
      <c r="A423" s="10"/>
      <c r="B423" s="354"/>
      <c r="C423" s="11"/>
      <c r="D423" s="190"/>
      <c r="E423" s="84"/>
      <c r="F423" s="85"/>
      <c r="G423" s="86"/>
      <c r="H423" s="355"/>
      <c r="I423" s="355"/>
    </row>
    <row r="424" spans="1:9" hidden="1" x14ac:dyDescent="0.25">
      <c r="A424" s="10"/>
      <c r="B424" s="354"/>
      <c r="C424" s="104" t="s">
        <v>353</v>
      </c>
      <c r="D424" s="105"/>
      <c r="E424" s="106"/>
      <c r="F424" s="107"/>
      <c r="G424" s="108"/>
      <c r="H424" s="109"/>
      <c r="I424" s="109"/>
    </row>
    <row r="425" spans="1:9" hidden="1" x14ac:dyDescent="0.25">
      <c r="A425" s="10"/>
      <c r="B425" s="354"/>
      <c r="C425" s="11"/>
      <c r="D425" s="190" t="s">
        <v>354</v>
      </c>
      <c r="E425" s="84"/>
      <c r="F425" s="85"/>
      <c r="G425" s="86"/>
      <c r="H425" s="355"/>
      <c r="I425" s="355"/>
    </row>
    <row r="426" spans="1:9" hidden="1" x14ac:dyDescent="0.25">
      <c r="A426" s="10"/>
      <c r="B426" s="354"/>
      <c r="C426" s="11"/>
      <c r="D426" s="281" t="s">
        <v>355</v>
      </c>
      <c r="E426" s="356"/>
      <c r="F426" s="357">
        <f>F392</f>
        <v>0</v>
      </c>
      <c r="G426" s="358"/>
      <c r="H426" s="355"/>
      <c r="I426" s="355"/>
    </row>
    <row r="427" spans="1:9" hidden="1" x14ac:dyDescent="0.25">
      <c r="A427" s="10"/>
      <c r="B427" s="354"/>
      <c r="C427" s="11"/>
      <c r="D427" s="281" t="s">
        <v>356</v>
      </c>
      <c r="E427" s="359"/>
      <c r="F427" s="360"/>
      <c r="G427" s="361"/>
      <c r="H427" s="355"/>
      <c r="I427" s="355"/>
    </row>
    <row r="428" spans="1:9" hidden="1" x14ac:dyDescent="0.25">
      <c r="A428" s="10"/>
      <c r="B428" s="354"/>
      <c r="C428" s="11"/>
      <c r="D428" s="281" t="s">
        <v>357</v>
      </c>
      <c r="E428" s="362"/>
      <c r="F428" s="363"/>
      <c r="G428" s="364"/>
      <c r="H428" s="355"/>
      <c r="I428" s="355"/>
    </row>
    <row r="429" spans="1:9" hidden="1" x14ac:dyDescent="0.25">
      <c r="A429" s="10"/>
      <c r="B429" s="354"/>
      <c r="C429" s="11"/>
      <c r="D429" s="190"/>
      <c r="E429" s="359"/>
      <c r="F429" s="360"/>
      <c r="G429" s="361"/>
      <c r="H429" s="355"/>
      <c r="I429" s="355"/>
    </row>
    <row r="430" spans="1:9" hidden="1" x14ac:dyDescent="0.25">
      <c r="A430" s="10"/>
      <c r="B430" s="354"/>
      <c r="C430" s="11"/>
      <c r="D430" s="190" t="s">
        <v>358</v>
      </c>
      <c r="E430" s="359"/>
      <c r="F430" s="360"/>
      <c r="G430" s="361"/>
      <c r="H430" s="355"/>
      <c r="I430" s="355"/>
    </row>
    <row r="431" spans="1:9" hidden="1" x14ac:dyDescent="0.25">
      <c r="A431" s="10"/>
      <c r="B431" s="354"/>
      <c r="C431" s="11"/>
      <c r="D431" s="281" t="s">
        <v>355</v>
      </c>
      <c r="E431" s="356"/>
      <c r="F431" s="357">
        <f>F391</f>
        <v>0</v>
      </c>
      <c r="G431" s="358"/>
      <c r="H431" s="355"/>
      <c r="I431" s="355"/>
    </row>
    <row r="432" spans="1:9" hidden="1" x14ac:dyDescent="0.25">
      <c r="A432" s="10"/>
      <c r="B432" s="354"/>
      <c r="C432" s="11"/>
      <c r="D432" s="281" t="s">
        <v>359</v>
      </c>
      <c r="E432" s="359"/>
      <c r="F432" s="360"/>
      <c r="G432" s="361"/>
      <c r="H432" s="355"/>
      <c r="I432" s="355"/>
    </row>
    <row r="433" spans="1:9" hidden="1" x14ac:dyDescent="0.25">
      <c r="A433" s="10"/>
      <c r="B433" s="354"/>
      <c r="C433" s="11"/>
      <c r="D433" s="281" t="s">
        <v>360</v>
      </c>
      <c r="E433" s="362"/>
      <c r="F433" s="363"/>
      <c r="G433" s="364"/>
      <c r="H433" s="355"/>
      <c r="I433" s="355"/>
    </row>
    <row r="434" spans="1:9" hidden="1" x14ac:dyDescent="0.25">
      <c r="A434" s="10"/>
      <c r="B434" s="354"/>
      <c r="C434" s="11"/>
      <c r="D434" s="281"/>
      <c r="E434" s="359"/>
      <c r="F434" s="360"/>
      <c r="G434" s="361"/>
      <c r="H434" s="355"/>
      <c r="I434" s="355"/>
    </row>
    <row r="435" spans="1:9" hidden="1" x14ac:dyDescent="0.25">
      <c r="A435" s="10"/>
      <c r="B435" s="354"/>
      <c r="C435" s="11"/>
      <c r="D435" s="190" t="s">
        <v>361</v>
      </c>
      <c r="E435" s="359"/>
      <c r="F435" s="360"/>
      <c r="G435" s="361"/>
      <c r="H435" s="355"/>
      <c r="I435" s="355"/>
    </row>
    <row r="436" spans="1:9" hidden="1" x14ac:dyDescent="0.25">
      <c r="A436" s="10"/>
      <c r="B436" s="354"/>
      <c r="C436" s="11"/>
      <c r="D436" s="281" t="s">
        <v>355</v>
      </c>
      <c r="E436" s="356"/>
      <c r="F436" s="357">
        <f>SUM(F426,F431)</f>
        <v>0</v>
      </c>
      <c r="G436" s="358">
        <f t="shared" ref="G436:G438" si="19">SUM(G426,G431)</f>
        <v>0</v>
      </c>
      <c r="H436" s="355"/>
      <c r="I436" s="355"/>
    </row>
    <row r="437" spans="1:9" hidden="1" x14ac:dyDescent="0.25">
      <c r="A437" s="10"/>
      <c r="B437" s="354"/>
      <c r="C437" s="11"/>
      <c r="D437" s="281" t="s">
        <v>362</v>
      </c>
      <c r="E437" s="359"/>
      <c r="F437" s="360">
        <f t="shared" ref="F437:F438" si="20">SUM(F427,F432)</f>
        <v>0</v>
      </c>
      <c r="G437" s="361">
        <f t="shared" si="19"/>
        <v>0</v>
      </c>
      <c r="H437" s="355"/>
      <c r="I437" s="355"/>
    </row>
    <row r="438" spans="1:9" hidden="1" x14ac:dyDescent="0.25">
      <c r="A438" s="10"/>
      <c r="B438" s="354"/>
      <c r="C438" s="11"/>
      <c r="D438" s="281" t="s">
        <v>360</v>
      </c>
      <c r="E438" s="362"/>
      <c r="F438" s="363">
        <f t="shared" si="20"/>
        <v>0</v>
      </c>
      <c r="G438" s="364">
        <f t="shared" si="19"/>
        <v>0</v>
      </c>
      <c r="H438" s="355"/>
      <c r="I438" s="355"/>
    </row>
    <row r="439" spans="1:9" hidden="1" x14ac:dyDescent="0.25">
      <c r="A439" s="10"/>
      <c r="B439" s="354"/>
      <c r="C439" s="11"/>
      <c r="D439" s="281"/>
      <c r="E439" s="359"/>
      <c r="F439" s="360"/>
      <c r="G439" s="361"/>
      <c r="H439" s="355"/>
      <c r="I439" s="355"/>
    </row>
    <row r="440" spans="1:9" hidden="1" x14ac:dyDescent="0.25">
      <c r="A440" s="10"/>
      <c r="B440" s="365"/>
      <c r="C440" s="11"/>
      <c r="D440" s="190"/>
      <c r="E440" s="84"/>
      <c r="F440" s="85"/>
      <c r="G440" s="86"/>
      <c r="H440" s="355"/>
      <c r="I440" s="355"/>
    </row>
    <row r="441" spans="1:9" x14ac:dyDescent="0.25">
      <c r="A441" s="10"/>
      <c r="B441" s="25" t="s">
        <v>363</v>
      </c>
      <c r="C441" s="26"/>
      <c r="D441" s="27"/>
      <c r="E441" s="28"/>
      <c r="F441" s="29"/>
      <c r="G441" s="30"/>
      <c r="H441" s="366"/>
      <c r="I441" s="366"/>
    </row>
    <row r="442" spans="1:9" x14ac:dyDescent="0.25">
      <c r="A442" s="10"/>
      <c r="C442" s="104" t="s">
        <v>364</v>
      </c>
      <c r="D442" s="105"/>
      <c r="E442" s="106"/>
      <c r="F442" s="107"/>
      <c r="G442" s="108"/>
      <c r="H442" s="109"/>
      <c r="I442" s="109"/>
    </row>
    <row r="443" spans="1:9" x14ac:dyDescent="0.25">
      <c r="A443" s="10"/>
      <c r="C443" s="32"/>
      <c r="D443" s="190" t="s">
        <v>365</v>
      </c>
      <c r="E443" s="367">
        <v>1.82</v>
      </c>
      <c r="F443" s="368">
        <v>1.83</v>
      </c>
      <c r="G443" s="369">
        <v>2.09</v>
      </c>
      <c r="H443" s="43" t="s">
        <v>366</v>
      </c>
      <c r="I443" s="43" t="s">
        <v>367</v>
      </c>
    </row>
    <row r="444" spans="1:9" x14ac:dyDescent="0.25">
      <c r="A444" s="10"/>
      <c r="C444" s="32"/>
      <c r="D444" s="190" t="s">
        <v>368</v>
      </c>
      <c r="E444" s="370">
        <v>1.65</v>
      </c>
      <c r="F444" s="371">
        <v>1.65</v>
      </c>
      <c r="G444" s="372"/>
      <c r="H444" s="373" t="s">
        <v>369</v>
      </c>
      <c r="I444" s="373"/>
    </row>
    <row r="445" spans="1:9" x14ac:dyDescent="0.25">
      <c r="A445" s="10"/>
      <c r="C445" s="32"/>
      <c r="D445" s="190" t="s">
        <v>370</v>
      </c>
      <c r="E445" s="374">
        <v>5526</v>
      </c>
      <c r="F445" s="154">
        <v>4840</v>
      </c>
      <c r="G445" s="191">
        <v>4410</v>
      </c>
      <c r="H445" s="43" t="s">
        <v>366</v>
      </c>
      <c r="I445" s="43" t="s">
        <v>367</v>
      </c>
    </row>
    <row r="446" spans="1:9" x14ac:dyDescent="0.25">
      <c r="A446" s="10"/>
      <c r="C446" s="32"/>
      <c r="D446" s="190" t="s">
        <v>371</v>
      </c>
      <c r="E446" s="374">
        <v>10039</v>
      </c>
      <c r="F446" s="154">
        <v>8848</v>
      </c>
      <c r="G446" s="191">
        <v>9195</v>
      </c>
      <c r="H446" s="43" t="s">
        <v>366</v>
      </c>
      <c r="I446" s="43" t="s">
        <v>367</v>
      </c>
    </row>
    <row r="447" spans="1:9" x14ac:dyDescent="0.25">
      <c r="A447" s="10"/>
      <c r="C447" s="32"/>
      <c r="D447" s="190" t="s">
        <v>372</v>
      </c>
      <c r="E447" s="375">
        <f>+E446-(E444*E445)</f>
        <v>921.10000000000036</v>
      </c>
      <c r="F447" s="376">
        <f>+F446-(F444*F445)</f>
        <v>862</v>
      </c>
      <c r="G447" s="372"/>
      <c r="H447" s="377" t="s">
        <v>373</v>
      </c>
      <c r="I447" s="377" t="s">
        <v>373</v>
      </c>
    </row>
    <row r="448" spans="1:9" x14ac:dyDescent="0.25">
      <c r="A448" s="10"/>
      <c r="C448" s="32"/>
      <c r="D448" s="190" t="s">
        <v>374</v>
      </c>
      <c r="E448" s="153">
        <f>E446-E445</f>
        <v>4513</v>
      </c>
      <c r="F448" s="154">
        <f>F446-F445</f>
        <v>4008</v>
      </c>
      <c r="G448" s="191">
        <f>G446-G445</f>
        <v>4785</v>
      </c>
      <c r="H448" s="377" t="s">
        <v>373</v>
      </c>
      <c r="I448" s="377" t="s">
        <v>373</v>
      </c>
    </row>
    <row r="449" spans="1:9" x14ac:dyDescent="0.25">
      <c r="A449" s="10"/>
      <c r="C449" s="32"/>
      <c r="D449" s="378" t="s">
        <v>375</v>
      </c>
      <c r="E449" s="379">
        <v>450</v>
      </c>
      <c r="F449" s="380">
        <v>-301</v>
      </c>
      <c r="G449" s="381">
        <v>-137</v>
      </c>
      <c r="H449" s="382" t="s">
        <v>376</v>
      </c>
      <c r="I449" s="382" t="s">
        <v>377</v>
      </c>
    </row>
    <row r="450" spans="1:9" x14ac:dyDescent="0.25">
      <c r="A450" s="10"/>
      <c r="C450" s="32"/>
      <c r="D450" s="190"/>
      <c r="E450" s="153"/>
      <c r="F450" s="154"/>
      <c r="G450" s="191"/>
      <c r="H450" s="128"/>
      <c r="I450" s="128"/>
    </row>
    <row r="451" spans="1:9" x14ac:dyDescent="0.25">
      <c r="A451" s="10"/>
      <c r="C451" s="32"/>
      <c r="D451" s="190"/>
      <c r="E451" s="153"/>
      <c r="F451" s="154"/>
      <c r="G451" s="191"/>
      <c r="H451" s="128"/>
      <c r="I451" s="128"/>
    </row>
    <row r="452" spans="1:9" x14ac:dyDescent="0.25">
      <c r="A452" s="10"/>
      <c r="B452" s="25" t="s">
        <v>378</v>
      </c>
      <c r="C452" s="26"/>
      <c r="D452" s="27"/>
      <c r="E452" s="28"/>
      <c r="F452" s="29"/>
      <c r="G452" s="30"/>
      <c r="H452" s="366"/>
      <c r="I452" s="366"/>
    </row>
    <row r="453" spans="1:9" x14ac:dyDescent="0.25">
      <c r="A453" s="10"/>
      <c r="B453" s="246"/>
      <c r="C453" s="383"/>
      <c r="D453" s="190"/>
      <c r="E453" s="375"/>
      <c r="F453" s="376"/>
      <c r="G453" s="384"/>
      <c r="H453" s="377" t="s">
        <v>379</v>
      </c>
      <c r="I453" s="377" t="s">
        <v>380</v>
      </c>
    </row>
    <row r="454" spans="1:9" x14ac:dyDescent="0.25">
      <c r="A454" s="10"/>
      <c r="B454" s="246"/>
      <c r="C454" s="383"/>
      <c r="D454" s="190" t="s">
        <v>381</v>
      </c>
      <c r="E454" s="385">
        <v>10151</v>
      </c>
      <c r="F454" s="386">
        <v>8656</v>
      </c>
      <c r="G454" s="387">
        <v>6114</v>
      </c>
      <c r="H454" s="43" t="s">
        <v>382</v>
      </c>
      <c r="I454" s="43" t="s">
        <v>383</v>
      </c>
    </row>
    <row r="455" spans="1:9" x14ac:dyDescent="0.25">
      <c r="A455" s="10"/>
      <c r="B455" s="246"/>
      <c r="C455" s="383"/>
      <c r="D455" s="190"/>
      <c r="E455" s="385" t="s">
        <v>384</v>
      </c>
      <c r="F455" s="386"/>
      <c r="G455" s="387" t="s">
        <v>384</v>
      </c>
      <c r="H455" s="43"/>
      <c r="I455" s="43"/>
    </row>
    <row r="456" spans="1:9" x14ac:dyDescent="0.25">
      <c r="A456" s="10"/>
      <c r="B456" s="246"/>
      <c r="C456" s="383"/>
      <c r="D456" s="388" t="s">
        <v>385</v>
      </c>
      <c r="E456" s="385" t="s">
        <v>384</v>
      </c>
      <c r="F456" s="386"/>
      <c r="G456" s="387" t="s">
        <v>384</v>
      </c>
      <c r="H456" s="389"/>
      <c r="I456" s="389"/>
    </row>
    <row r="457" spans="1:9" x14ac:dyDescent="0.25">
      <c r="A457" s="10"/>
      <c r="B457" s="246"/>
      <c r="C457" s="383"/>
      <c r="D457" s="190" t="s">
        <v>386</v>
      </c>
      <c r="E457" s="385">
        <v>10150</v>
      </c>
      <c r="F457" s="386">
        <v>10570</v>
      </c>
      <c r="G457" s="387">
        <v>12042</v>
      </c>
      <c r="H457" s="43" t="s">
        <v>382</v>
      </c>
      <c r="I457" s="43" t="s">
        <v>383</v>
      </c>
    </row>
    <row r="458" spans="1:9" x14ac:dyDescent="0.25">
      <c r="A458" s="10"/>
      <c r="B458" s="246"/>
      <c r="C458" s="383"/>
      <c r="D458" s="190" t="s">
        <v>387</v>
      </c>
      <c r="E458" s="385">
        <v>1766</v>
      </c>
      <c r="F458" s="386">
        <v>1074</v>
      </c>
      <c r="G458" s="387">
        <v>1903</v>
      </c>
      <c r="H458" s="43" t="s">
        <v>382</v>
      </c>
      <c r="I458" s="43" t="s">
        <v>383</v>
      </c>
    </row>
    <row r="459" spans="1:9" x14ac:dyDescent="0.25">
      <c r="A459" s="10"/>
      <c r="B459" s="246"/>
      <c r="C459" s="383"/>
      <c r="D459" s="190" t="s">
        <v>388</v>
      </c>
      <c r="E459" s="385">
        <v>14334</v>
      </c>
      <c r="F459" s="386">
        <v>13484</v>
      </c>
      <c r="G459" s="387">
        <v>12389</v>
      </c>
      <c r="H459" s="43" t="s">
        <v>382</v>
      </c>
      <c r="I459" s="43" t="s">
        <v>383</v>
      </c>
    </row>
    <row r="460" spans="1:9" x14ac:dyDescent="0.25">
      <c r="A460" s="10"/>
      <c r="B460" s="246"/>
      <c r="C460" s="383"/>
      <c r="D460" s="190" t="s">
        <v>389</v>
      </c>
      <c r="E460" s="385">
        <v>428</v>
      </c>
      <c r="F460" s="386">
        <v>400</v>
      </c>
      <c r="G460" s="387">
        <v>292</v>
      </c>
      <c r="H460" s="43" t="s">
        <v>382</v>
      </c>
      <c r="I460" s="43" t="s">
        <v>383</v>
      </c>
    </row>
    <row r="461" spans="1:9" x14ac:dyDescent="0.25">
      <c r="A461" s="10"/>
      <c r="B461" s="246"/>
      <c r="C461" s="383"/>
      <c r="D461" s="190" t="s">
        <v>390</v>
      </c>
      <c r="E461" s="385">
        <v>8461</v>
      </c>
      <c r="F461" s="386">
        <v>8315</v>
      </c>
      <c r="G461" s="387">
        <v>7657</v>
      </c>
      <c r="H461" s="43" t="s">
        <v>382</v>
      </c>
      <c r="I461" s="43" t="s">
        <v>383</v>
      </c>
    </row>
    <row r="462" spans="1:9" x14ac:dyDescent="0.25">
      <c r="A462" s="10"/>
      <c r="B462" s="246"/>
      <c r="C462" s="383"/>
      <c r="D462" s="190" t="s">
        <v>391</v>
      </c>
      <c r="E462" s="385">
        <v>313</v>
      </c>
      <c r="F462" s="386">
        <v>218</v>
      </c>
      <c r="G462" s="387">
        <v>179</v>
      </c>
      <c r="H462" s="43" t="s">
        <v>382</v>
      </c>
      <c r="I462" s="43" t="s">
        <v>383</v>
      </c>
    </row>
    <row r="463" spans="1:9" x14ac:dyDescent="0.25">
      <c r="A463" s="10"/>
      <c r="B463" s="246"/>
      <c r="C463" s="383"/>
      <c r="D463" s="190" t="s">
        <v>30</v>
      </c>
      <c r="E463" s="385">
        <v>1787</v>
      </c>
      <c r="F463" s="390">
        <v>1702</v>
      </c>
      <c r="G463" s="387">
        <v>1276</v>
      </c>
      <c r="H463" s="43" t="s">
        <v>382</v>
      </c>
      <c r="I463" s="43" t="s">
        <v>383</v>
      </c>
    </row>
    <row r="464" spans="1:9" x14ac:dyDescent="0.25">
      <c r="A464" s="10"/>
      <c r="B464" s="246"/>
      <c r="C464" s="383"/>
      <c r="D464" s="391" t="s">
        <v>392</v>
      </c>
      <c r="E464" s="392">
        <f>SUM(E457:E463)</f>
        <v>37239</v>
      </c>
      <c r="F464" s="118">
        <f>SUM(F457:F463)</f>
        <v>35763</v>
      </c>
      <c r="G464" s="393">
        <f>SUM(G457:G463)</f>
        <v>35738</v>
      </c>
      <c r="H464" s="394"/>
      <c r="I464" s="395"/>
    </row>
    <row r="465" spans="1:9" x14ac:dyDescent="0.25">
      <c r="A465" s="10"/>
      <c r="B465" s="246"/>
      <c r="C465" s="383"/>
      <c r="D465" s="190"/>
      <c r="E465" s="214"/>
      <c r="F465" s="215"/>
      <c r="G465" s="216"/>
      <c r="H465" s="389"/>
      <c r="I465" s="396"/>
    </row>
    <row r="466" spans="1:9" x14ac:dyDescent="0.25">
      <c r="A466" s="10"/>
      <c r="B466" s="246"/>
      <c r="C466" s="383"/>
      <c r="D466" s="190" t="s">
        <v>393</v>
      </c>
      <c r="E466" s="385">
        <v>3864</v>
      </c>
      <c r="F466" s="386">
        <v>4680</v>
      </c>
      <c r="G466" s="387">
        <v>5452</v>
      </c>
      <c r="H466" s="397" t="s">
        <v>382</v>
      </c>
      <c r="I466" s="398" t="s">
        <v>383</v>
      </c>
    </row>
    <row r="467" spans="1:9" x14ac:dyDescent="0.25">
      <c r="A467" s="10"/>
      <c r="B467" s="246"/>
      <c r="C467" s="383"/>
      <c r="D467" s="190" t="s">
        <v>394</v>
      </c>
      <c r="E467" s="385">
        <v>5377</v>
      </c>
      <c r="F467" s="386">
        <v>5707</v>
      </c>
      <c r="G467" s="387">
        <v>8673</v>
      </c>
      <c r="H467" s="397" t="s">
        <v>382</v>
      </c>
      <c r="I467" s="398" t="s">
        <v>383</v>
      </c>
    </row>
    <row r="468" spans="1:9" x14ac:dyDescent="0.25">
      <c r="A468" s="10"/>
      <c r="B468" s="246"/>
      <c r="C468" s="383"/>
      <c r="D468" s="391" t="s">
        <v>395</v>
      </c>
      <c r="E468" s="392">
        <f>SUM(E464,E454,E466:E467)</f>
        <v>56631</v>
      </c>
      <c r="F468" s="399">
        <f>SUM(F464,F454,F466:F467)</f>
        <v>54806</v>
      </c>
      <c r="G468" s="393">
        <f>SUM(G464,G454,G466:G467)</f>
        <v>55977</v>
      </c>
      <c r="H468" s="400"/>
      <c r="I468" s="401"/>
    </row>
    <row r="469" spans="1:9" x14ac:dyDescent="0.25">
      <c r="A469" s="10"/>
      <c r="B469" s="246"/>
      <c r="C469" s="383"/>
      <c r="D469" s="190"/>
      <c r="E469" s="214"/>
      <c r="F469" s="215"/>
      <c r="G469" s="216"/>
      <c r="H469" s="389"/>
      <c r="I469" s="396"/>
    </row>
    <row r="470" spans="1:9" x14ac:dyDescent="0.25">
      <c r="A470" s="10"/>
      <c r="B470" s="246"/>
      <c r="C470" s="383"/>
      <c r="D470" s="190" t="s">
        <v>396</v>
      </c>
      <c r="E470" s="214"/>
      <c r="F470" s="215"/>
      <c r="G470" s="216"/>
      <c r="H470" s="389"/>
      <c r="I470" s="396"/>
    </row>
    <row r="471" spans="1:9" x14ac:dyDescent="0.25">
      <c r="A471" s="10"/>
      <c r="B471" s="246"/>
      <c r="C471" s="383"/>
      <c r="D471" s="388" t="s">
        <v>385</v>
      </c>
      <c r="E471" s="214"/>
      <c r="F471" s="215"/>
      <c r="G471" s="216"/>
      <c r="H471" s="389"/>
      <c r="I471" s="396"/>
    </row>
    <row r="472" spans="1:9" x14ac:dyDescent="0.25">
      <c r="A472" s="10"/>
      <c r="B472" s="246"/>
      <c r="C472" s="383"/>
      <c r="D472" s="190" t="s">
        <v>390</v>
      </c>
      <c r="E472" s="385">
        <v>17160</v>
      </c>
      <c r="F472" s="386">
        <v>14151</v>
      </c>
      <c r="G472" s="387">
        <v>11895</v>
      </c>
      <c r="H472" s="397" t="s">
        <v>382</v>
      </c>
      <c r="I472" s="398" t="s">
        <v>383</v>
      </c>
    </row>
    <row r="473" spans="1:9" x14ac:dyDescent="0.25">
      <c r="A473" s="10"/>
      <c r="B473" s="246"/>
      <c r="C473" s="383"/>
      <c r="D473" s="190" t="s">
        <v>391</v>
      </c>
      <c r="E473" s="385">
        <v>485</v>
      </c>
      <c r="F473" s="386">
        <v>555</v>
      </c>
      <c r="G473" s="387">
        <v>431</v>
      </c>
      <c r="H473" s="397" t="s">
        <v>382</v>
      </c>
      <c r="I473" s="398" t="s">
        <v>383</v>
      </c>
    </row>
    <row r="474" spans="1:9" x14ac:dyDescent="0.25">
      <c r="A474" s="10"/>
      <c r="B474" s="246"/>
      <c r="C474" s="383"/>
      <c r="D474" s="190" t="s">
        <v>30</v>
      </c>
      <c r="E474" s="385">
        <v>0</v>
      </c>
      <c r="F474" s="390">
        <v>31</v>
      </c>
      <c r="G474" s="387"/>
      <c r="H474" s="397"/>
      <c r="I474" s="402"/>
    </row>
    <row r="475" spans="1:9" x14ac:dyDescent="0.25">
      <c r="A475" s="10"/>
      <c r="B475" s="246"/>
      <c r="C475" s="383"/>
      <c r="D475" s="391" t="s">
        <v>392</v>
      </c>
      <c r="E475" s="403">
        <v>17645</v>
      </c>
      <c r="F475" s="404">
        <f>+SUM(F472:F474)</f>
        <v>14737</v>
      </c>
      <c r="G475" s="393">
        <f>SUM(G472:G473)</f>
        <v>12326</v>
      </c>
      <c r="H475" s="405" t="s">
        <v>382</v>
      </c>
      <c r="I475" s="406"/>
    </row>
    <row r="476" spans="1:9" x14ac:dyDescent="0.25">
      <c r="A476" s="10"/>
      <c r="B476" s="246"/>
      <c r="C476" s="383"/>
      <c r="D476" s="190"/>
      <c r="E476" s="214"/>
      <c r="F476" s="215"/>
      <c r="G476" s="216"/>
      <c r="H476" s="389"/>
      <c r="I476" s="396"/>
    </row>
    <row r="477" spans="1:9" x14ac:dyDescent="0.25">
      <c r="A477" s="10"/>
      <c r="B477" s="246"/>
      <c r="C477" s="383"/>
      <c r="D477" s="190" t="s">
        <v>393</v>
      </c>
      <c r="E477" s="385">
        <v>327</v>
      </c>
      <c r="F477" s="386">
        <v>371</v>
      </c>
      <c r="G477" s="387">
        <v>538</v>
      </c>
      <c r="H477" s="397" t="s">
        <v>382</v>
      </c>
      <c r="I477" s="398" t="s">
        <v>383</v>
      </c>
    </row>
    <row r="478" spans="1:9" x14ac:dyDescent="0.25">
      <c r="A478" s="10"/>
      <c r="B478" s="246"/>
      <c r="C478" s="383"/>
      <c r="D478" s="190" t="s">
        <v>394</v>
      </c>
      <c r="E478" s="385">
        <v>80</v>
      </c>
      <c r="F478" s="390">
        <v>63</v>
      </c>
      <c r="G478" s="387">
        <v>47</v>
      </c>
      <c r="H478" s="397" t="s">
        <v>382</v>
      </c>
      <c r="I478" s="398" t="s">
        <v>383</v>
      </c>
    </row>
    <row r="479" spans="1:9" x14ac:dyDescent="0.25">
      <c r="A479" s="10"/>
      <c r="B479" s="246"/>
      <c r="C479" s="383"/>
      <c r="D479" s="391" t="s">
        <v>397</v>
      </c>
      <c r="E479" s="403">
        <f>SUM(E477:E478,E475)</f>
        <v>18052</v>
      </c>
      <c r="F479" s="404">
        <f>SUM(F477:F478,F475)</f>
        <v>15171</v>
      </c>
      <c r="G479" s="393">
        <f>SUM(G477:G478,G475)</f>
        <v>12911</v>
      </c>
      <c r="H479" s="400" t="s">
        <v>398</v>
      </c>
      <c r="I479" s="401" t="s">
        <v>398</v>
      </c>
    </row>
    <row r="480" spans="1:9" x14ac:dyDescent="0.25">
      <c r="A480" s="10"/>
      <c r="B480" s="246"/>
      <c r="C480" s="383"/>
      <c r="D480" s="190"/>
      <c r="E480" s="214"/>
      <c r="F480" s="215"/>
      <c r="G480" s="216"/>
      <c r="H480" s="389"/>
      <c r="I480" s="396"/>
    </row>
    <row r="481" spans="1:9" x14ac:dyDescent="0.25">
      <c r="A481" s="10"/>
      <c r="B481" s="246"/>
      <c r="C481" s="383"/>
      <c r="D481" s="388" t="s">
        <v>399</v>
      </c>
      <c r="E481" s="214"/>
      <c r="F481" s="215"/>
      <c r="G481" s="216"/>
      <c r="H481" s="389"/>
      <c r="I481" s="396"/>
    </row>
    <row r="482" spans="1:9" x14ac:dyDescent="0.25">
      <c r="A482" s="10"/>
      <c r="B482" s="246"/>
      <c r="C482" s="383"/>
      <c r="D482" s="190" t="s">
        <v>400</v>
      </c>
      <c r="E482" s="385">
        <v>717</v>
      </c>
      <c r="F482" s="386">
        <v>725</v>
      </c>
      <c r="G482" s="387">
        <v>850</v>
      </c>
      <c r="H482" s="397" t="s">
        <v>401</v>
      </c>
      <c r="I482" s="398" t="s">
        <v>402</v>
      </c>
    </row>
    <row r="483" spans="1:9" x14ac:dyDescent="0.25">
      <c r="A483" s="10"/>
      <c r="B483" s="246"/>
      <c r="C483" s="383"/>
      <c r="D483" s="190"/>
      <c r="E483" s="214"/>
      <c r="F483" s="215"/>
      <c r="G483" s="216"/>
      <c r="H483" s="389"/>
      <c r="I483" s="396"/>
    </row>
    <row r="484" spans="1:9" x14ac:dyDescent="0.25">
      <c r="A484" s="10"/>
      <c r="B484" s="246"/>
      <c r="C484" s="383"/>
      <c r="D484" s="391" t="s">
        <v>403</v>
      </c>
      <c r="E484" s="403">
        <f>SUM(E479,E468,E482)</f>
        <v>75400</v>
      </c>
      <c r="F484" s="404">
        <f>SUM(F479,F468,F482)</f>
        <v>70702</v>
      </c>
      <c r="G484" s="393">
        <f>SUM(G479,G468,G482)</f>
        <v>69738</v>
      </c>
      <c r="H484" s="394"/>
      <c r="I484" s="394"/>
    </row>
    <row r="485" spans="1:9" x14ac:dyDescent="0.25">
      <c r="A485" s="10"/>
      <c r="B485" s="246"/>
      <c r="C485" s="383"/>
      <c r="D485" s="190"/>
      <c r="E485" s="214"/>
      <c r="F485" s="215"/>
      <c r="G485" s="216"/>
      <c r="H485" s="389"/>
      <c r="I485" s="389"/>
    </row>
    <row r="486" spans="1:9" x14ac:dyDescent="0.25">
      <c r="A486" s="10"/>
      <c r="B486" s="246"/>
      <c r="C486" s="383"/>
      <c r="D486" s="190"/>
      <c r="E486" s="375"/>
      <c r="F486" s="376"/>
      <c r="G486" s="384"/>
      <c r="H486" s="389"/>
      <c r="I486" s="389"/>
    </row>
    <row r="487" spans="1:9" x14ac:dyDescent="0.25">
      <c r="A487" s="10"/>
      <c r="B487" s="25" t="s">
        <v>404</v>
      </c>
      <c r="C487" s="26"/>
      <c r="D487" s="407"/>
      <c r="E487" s="408"/>
      <c r="F487" s="409"/>
      <c r="G487" s="410"/>
      <c r="H487" s="366"/>
      <c r="I487" s="366"/>
    </row>
    <row r="488" spans="1:9" x14ac:dyDescent="0.25">
      <c r="A488" s="10"/>
      <c r="C488" s="32"/>
      <c r="D488" s="210" t="s">
        <v>405</v>
      </c>
      <c r="E488" s="411"/>
      <c r="F488" s="154"/>
      <c r="G488" s="412"/>
      <c r="H488" s="377" t="s">
        <v>406</v>
      </c>
      <c r="I488" s="377" t="s">
        <v>407</v>
      </c>
    </row>
    <row r="489" spans="1:9" x14ac:dyDescent="0.25">
      <c r="A489" s="10"/>
      <c r="C489" s="32"/>
      <c r="D489" s="190" t="s">
        <v>408</v>
      </c>
      <c r="E489" s="385">
        <v>2536</v>
      </c>
      <c r="F489" s="386">
        <v>1508</v>
      </c>
      <c r="G489" s="387">
        <v>1760</v>
      </c>
      <c r="H489" s="43" t="s">
        <v>409</v>
      </c>
      <c r="I489" s="43" t="s">
        <v>410</v>
      </c>
    </row>
    <row r="490" spans="1:9" x14ac:dyDescent="0.25">
      <c r="A490" s="10"/>
      <c r="C490" s="32"/>
      <c r="D490" s="190" t="s">
        <v>388</v>
      </c>
      <c r="E490" s="385">
        <v>16268</v>
      </c>
      <c r="F490" s="386">
        <v>14745</v>
      </c>
      <c r="G490" s="387">
        <v>11870</v>
      </c>
      <c r="H490" s="43" t="s">
        <v>409</v>
      </c>
      <c r="I490" s="43" t="s">
        <v>410</v>
      </c>
    </row>
    <row r="491" spans="1:9" x14ac:dyDescent="0.25">
      <c r="A491" s="10"/>
      <c r="C491" s="32"/>
      <c r="D491" s="190" t="s">
        <v>411</v>
      </c>
      <c r="E491" s="385">
        <v>7120</v>
      </c>
      <c r="F491" s="386">
        <v>6283</v>
      </c>
      <c r="G491" s="387">
        <v>8202</v>
      </c>
      <c r="H491" s="43" t="s">
        <v>409</v>
      </c>
      <c r="I491" s="43" t="s">
        <v>410</v>
      </c>
    </row>
    <row r="492" spans="1:9" x14ac:dyDescent="0.25">
      <c r="A492" s="10"/>
      <c r="C492" s="32"/>
      <c r="D492" s="190" t="s">
        <v>412</v>
      </c>
      <c r="E492" s="385">
        <v>8461</v>
      </c>
      <c r="F492" s="386">
        <v>8401</v>
      </c>
      <c r="G492" s="387">
        <v>7657</v>
      </c>
      <c r="H492" s="43" t="s">
        <v>409</v>
      </c>
      <c r="I492" s="43" t="s">
        <v>410</v>
      </c>
    </row>
    <row r="493" spans="1:9" x14ac:dyDescent="0.25">
      <c r="A493" s="10"/>
      <c r="C493" s="32"/>
      <c r="D493" s="190" t="s">
        <v>413</v>
      </c>
      <c r="E493" s="385">
        <v>17189</v>
      </c>
      <c r="F493" s="386">
        <v>14141</v>
      </c>
      <c r="G493" s="387">
        <v>12328</v>
      </c>
      <c r="H493" s="43" t="s">
        <v>409</v>
      </c>
      <c r="I493" s="43" t="s">
        <v>410</v>
      </c>
    </row>
    <row r="494" spans="1:9" x14ac:dyDescent="0.25">
      <c r="A494" s="10"/>
      <c r="C494" s="32"/>
      <c r="D494" s="190" t="s">
        <v>400</v>
      </c>
      <c r="E494" s="385">
        <v>1510</v>
      </c>
      <c r="F494" s="386">
        <v>1334</v>
      </c>
      <c r="G494" s="387">
        <v>1028</v>
      </c>
      <c r="H494" s="43" t="s">
        <v>409</v>
      </c>
      <c r="I494" s="43" t="s">
        <v>410</v>
      </c>
    </row>
    <row r="495" spans="1:9" x14ac:dyDescent="0.25">
      <c r="A495" s="10"/>
      <c r="C495" s="32"/>
      <c r="D495" s="190" t="s">
        <v>414</v>
      </c>
      <c r="E495" s="385">
        <v>716</v>
      </c>
      <c r="F495" s="386">
        <v>746</v>
      </c>
      <c r="G495" s="387">
        <v>1274</v>
      </c>
      <c r="H495" s="43" t="s">
        <v>409</v>
      </c>
      <c r="I495" s="43" t="s">
        <v>410</v>
      </c>
    </row>
    <row r="496" spans="1:9" x14ac:dyDescent="0.25">
      <c r="A496" s="10"/>
      <c r="C496" s="32"/>
      <c r="D496" s="190" t="s">
        <v>415</v>
      </c>
      <c r="E496" s="385">
        <f>3324+9889</f>
        <v>13213</v>
      </c>
      <c r="F496" s="386">
        <f>3084+7683</f>
        <v>10767</v>
      </c>
      <c r="G496" s="413">
        <v>13499</v>
      </c>
      <c r="H496" s="43" t="s">
        <v>409</v>
      </c>
      <c r="I496" s="43" t="s">
        <v>410</v>
      </c>
    </row>
    <row r="497" spans="1:9" s="44" customFormat="1" x14ac:dyDescent="0.25">
      <c r="A497" s="10"/>
      <c r="B497"/>
      <c r="C497" s="32"/>
      <c r="D497" s="391" t="s">
        <v>416</v>
      </c>
      <c r="E497" s="399">
        <f>SUM(E489:E496)</f>
        <v>67013</v>
      </c>
      <c r="F497" s="399">
        <f>SUM(F489:F496)</f>
        <v>57925</v>
      </c>
      <c r="G497" s="119">
        <f>SUM(G489:G496)</f>
        <v>57618</v>
      </c>
      <c r="H497" s="414"/>
      <c r="I497" s="414"/>
    </row>
    <row r="498" spans="1:9" x14ac:dyDescent="0.25">
      <c r="A498" s="10"/>
      <c r="C498" s="32"/>
      <c r="D498" s="190"/>
      <c r="E498" s="153"/>
      <c r="F498" s="154"/>
      <c r="G498" s="191"/>
      <c r="H498" s="128"/>
      <c r="I498" s="128"/>
    </row>
    <row r="499" spans="1:9" x14ac:dyDescent="0.25">
      <c r="A499" s="10"/>
      <c r="C499" s="32"/>
      <c r="D499" s="210" t="s">
        <v>417</v>
      </c>
      <c r="E499" s="153"/>
      <c r="F499" s="154"/>
      <c r="G499" s="191"/>
      <c r="H499" s="43"/>
      <c r="I499" s="43"/>
    </row>
    <row r="500" spans="1:9" x14ac:dyDescent="0.25">
      <c r="A500" s="10"/>
      <c r="C500" s="32"/>
      <c r="D500" s="190" t="s">
        <v>418</v>
      </c>
      <c r="E500" s="385">
        <v>3479</v>
      </c>
      <c r="F500" s="386">
        <v>2695</v>
      </c>
      <c r="G500" s="387">
        <v>2404</v>
      </c>
      <c r="H500" s="43" t="s">
        <v>409</v>
      </c>
      <c r="I500" s="43" t="s">
        <v>410</v>
      </c>
    </row>
    <row r="501" spans="1:9" x14ac:dyDescent="0.25">
      <c r="A501" s="10"/>
      <c r="C501" s="32"/>
      <c r="D501" s="190" t="s">
        <v>388</v>
      </c>
      <c r="E501" s="385">
        <v>697</v>
      </c>
      <c r="F501" s="386">
        <v>420</v>
      </c>
      <c r="G501" s="387">
        <v>4410</v>
      </c>
      <c r="H501" s="43" t="s">
        <v>409</v>
      </c>
      <c r="I501" s="43" t="s">
        <v>410</v>
      </c>
    </row>
    <row r="502" spans="1:9" x14ac:dyDescent="0.25">
      <c r="A502" s="10"/>
      <c r="C502" s="32"/>
      <c r="D502" s="190" t="s">
        <v>419</v>
      </c>
      <c r="E502" s="385">
        <v>2703</v>
      </c>
      <c r="F502" s="386">
        <v>1799</v>
      </c>
      <c r="G502" s="387"/>
      <c r="H502" s="43" t="s">
        <v>409</v>
      </c>
      <c r="I502" s="43" t="s">
        <v>410</v>
      </c>
    </row>
    <row r="503" spans="1:9" x14ac:dyDescent="0.25">
      <c r="A503" s="10"/>
      <c r="C503" s="32"/>
      <c r="D503" s="190" t="s">
        <v>420</v>
      </c>
      <c r="E503" s="415" t="s">
        <v>166</v>
      </c>
      <c r="F503" s="416" t="s">
        <v>166</v>
      </c>
      <c r="G503" s="387"/>
      <c r="H503" s="43" t="s">
        <v>409</v>
      </c>
      <c r="I503" s="43" t="s">
        <v>410</v>
      </c>
    </row>
    <row r="504" spans="1:9" x14ac:dyDescent="0.25">
      <c r="A504" s="10"/>
      <c r="C504" s="32"/>
      <c r="D504" s="190" t="s">
        <v>421</v>
      </c>
      <c r="E504" s="415" t="s">
        <v>166</v>
      </c>
      <c r="F504" s="416" t="s">
        <v>166</v>
      </c>
      <c r="G504" s="387"/>
      <c r="H504" s="43"/>
      <c r="I504" s="43" t="s">
        <v>410</v>
      </c>
    </row>
    <row r="505" spans="1:9" x14ac:dyDescent="0.25">
      <c r="A505" s="10"/>
      <c r="C505" s="32"/>
      <c r="D505" s="190" t="s">
        <v>415</v>
      </c>
      <c r="E505" s="385">
        <f>941+566</f>
        <v>1507</v>
      </c>
      <c r="F505" s="386">
        <f>2721+5144</f>
        <v>7865</v>
      </c>
      <c r="G505" s="387">
        <v>5306</v>
      </c>
      <c r="H505" s="43" t="s">
        <v>409</v>
      </c>
      <c r="I505" s="43" t="s">
        <v>410</v>
      </c>
    </row>
    <row r="506" spans="1:9" x14ac:dyDescent="0.25">
      <c r="A506" s="10"/>
      <c r="C506" s="32"/>
      <c r="D506" s="391" t="s">
        <v>416</v>
      </c>
      <c r="E506" s="392">
        <f>SUM(E500:E505)</f>
        <v>8386</v>
      </c>
      <c r="F506" s="399">
        <f>SUM(F500:F505)</f>
        <v>12779</v>
      </c>
      <c r="G506" s="393">
        <f>SUM(G500:G505)</f>
        <v>12120</v>
      </c>
      <c r="H506" s="414"/>
      <c r="I506" s="414"/>
    </row>
    <row r="507" spans="1:9" x14ac:dyDescent="0.25">
      <c r="A507" s="10"/>
      <c r="C507" s="32"/>
      <c r="D507" s="210"/>
      <c r="E507" s="117"/>
      <c r="F507" s="118"/>
      <c r="G507" s="119"/>
      <c r="H507" s="51"/>
      <c r="I507" s="51"/>
    </row>
    <row r="508" spans="1:9" x14ac:dyDescent="0.25">
      <c r="A508" s="10"/>
      <c r="C508" s="32"/>
      <c r="D508" s="417" t="s">
        <v>422</v>
      </c>
      <c r="E508" s="418">
        <v>75.399000000000001</v>
      </c>
      <c r="F508" s="419">
        <v>70.703999999999994</v>
      </c>
      <c r="G508" s="420">
        <v>69.738</v>
      </c>
      <c r="H508" s="233" t="s">
        <v>398</v>
      </c>
      <c r="I508" s="233" t="s">
        <v>398</v>
      </c>
    </row>
    <row r="509" spans="1:9" x14ac:dyDescent="0.25">
      <c r="A509" s="10"/>
      <c r="C509" s="32"/>
      <c r="D509" s="417" t="s">
        <v>384</v>
      </c>
      <c r="E509" s="421" t="b">
        <v>0</v>
      </c>
      <c r="F509" s="422" t="b">
        <v>0</v>
      </c>
      <c r="G509" s="423" t="b">
        <v>1</v>
      </c>
      <c r="H509" s="51"/>
      <c r="I509" s="51"/>
    </row>
    <row r="510" spans="1:9" x14ac:dyDescent="0.25">
      <c r="A510" s="10"/>
      <c r="C510" s="32"/>
      <c r="D510" s="190"/>
      <c r="E510" s="153"/>
      <c r="F510" s="154"/>
      <c r="G510" s="191"/>
      <c r="H510" s="128"/>
      <c r="I510" s="128"/>
    </row>
    <row r="511" spans="1:9" s="44" customFormat="1" x14ac:dyDescent="0.25">
      <c r="A511" s="39"/>
      <c r="C511" s="32"/>
      <c r="D511" s="210" t="s">
        <v>423</v>
      </c>
      <c r="E511" s="117">
        <f>74683+717</f>
        <v>75400</v>
      </c>
      <c r="F511" s="118">
        <f>69977+725</f>
        <v>70702</v>
      </c>
      <c r="G511" s="119">
        <f>68888+850</f>
        <v>69738</v>
      </c>
      <c r="H511" s="51" t="s">
        <v>424</v>
      </c>
      <c r="I511" s="51" t="s">
        <v>425</v>
      </c>
    </row>
    <row r="512" spans="1:9" x14ac:dyDescent="0.25">
      <c r="A512" s="10"/>
      <c r="C512" s="32"/>
      <c r="D512" s="159" t="s">
        <v>426</v>
      </c>
      <c r="E512" s="385">
        <v>0</v>
      </c>
      <c r="F512" s="386">
        <v>0</v>
      </c>
      <c r="G512" s="387">
        <v>0</v>
      </c>
      <c r="H512" s="43" t="s">
        <v>382</v>
      </c>
      <c r="I512" s="43" t="s">
        <v>427</v>
      </c>
    </row>
    <row r="513" spans="1:9" x14ac:dyDescent="0.25">
      <c r="A513" s="10"/>
      <c r="C513" s="32"/>
      <c r="D513" s="159" t="s">
        <v>428</v>
      </c>
      <c r="E513" s="385">
        <f>56950+717</f>
        <v>57667</v>
      </c>
      <c r="F513" s="386">
        <f>55166+725</f>
        <v>55891</v>
      </c>
      <c r="G513" s="387">
        <f>56504+850</f>
        <v>57354</v>
      </c>
      <c r="H513" s="43" t="s">
        <v>382</v>
      </c>
      <c r="I513" s="43" t="s">
        <v>427</v>
      </c>
    </row>
    <row r="514" spans="1:9" x14ac:dyDescent="0.25">
      <c r="A514" s="10"/>
      <c r="C514" s="32"/>
      <c r="D514" s="159" t="s">
        <v>429</v>
      </c>
      <c r="E514" s="385">
        <v>17733</v>
      </c>
      <c r="F514" s="386">
        <v>14811</v>
      </c>
      <c r="G514" s="387">
        <v>12384</v>
      </c>
      <c r="H514" s="43" t="s">
        <v>382</v>
      </c>
      <c r="I514" s="43" t="s">
        <v>427</v>
      </c>
    </row>
    <row r="515" spans="1:9" x14ac:dyDescent="0.25">
      <c r="A515" s="10"/>
      <c r="C515" s="11"/>
      <c r="D515" s="378"/>
      <c r="E515" s="424" t="b">
        <f>+SUM(E512:E514)=E511</f>
        <v>1</v>
      </c>
      <c r="F515" s="425" t="b">
        <f>+SUM(F512:F514)=F511</f>
        <v>1</v>
      </c>
      <c r="G515" s="425" t="b">
        <f>+SUM(G512:G514)=G511</f>
        <v>1</v>
      </c>
      <c r="H515" s="382"/>
      <c r="I515" s="382"/>
    </row>
  </sheetData>
  <dataConsolidate/>
  <mergeCells count="7">
    <mergeCell ref="B1:D2"/>
    <mergeCell ref="E252:E255"/>
    <mergeCell ref="F252:F255"/>
    <mergeCell ref="G252:G255"/>
    <mergeCell ref="E256:E261"/>
    <mergeCell ref="F256:F261"/>
    <mergeCell ref="G256:G261"/>
  </mergeCells>
  <conditionalFormatting sqref="D342">
    <cfRule type="containsText" dxfId="119" priority="5" operator="containsText" text="FALSE">
      <formula>NOT(ISERROR(SEARCH("FALSE",D342)))</formula>
    </cfRule>
    <cfRule type="containsText" dxfId="118" priority="6" operator="containsText" text="TRUE">
      <formula>NOT(ISERROR(SEARCH("TRUE",D342)))</formula>
    </cfRule>
  </conditionalFormatting>
  <conditionalFormatting sqref="E41:G43 E47:G47 E50:G51 E55:G55 E58:G58 E60:G60">
    <cfRule type="containsText" dxfId="117" priority="31" operator="containsText" text="FALSE">
      <formula>NOT(ISERROR(SEARCH("FALSE",E41)))</formula>
    </cfRule>
    <cfRule type="containsText" dxfId="116" priority="32" operator="containsText" text="TRUE">
      <formula>NOT(ISERROR(SEARCH("TRUE",E41)))</formula>
    </cfRule>
  </conditionalFormatting>
  <conditionalFormatting sqref="E63:G65">
    <cfRule type="containsText" dxfId="115" priority="7" operator="containsText" text="FALSE">
      <formula>NOT(ISERROR(SEARCH("FALSE",E63)))</formula>
    </cfRule>
    <cfRule type="containsText" dxfId="114" priority="8" operator="containsText" text="TRUE">
      <formula>NOT(ISERROR(SEARCH("TRUE",E63)))</formula>
    </cfRule>
  </conditionalFormatting>
  <conditionalFormatting sqref="E119:G122">
    <cfRule type="containsText" dxfId="112" priority="29" operator="containsText" text="FALSE">
      <formula>NOT(ISERROR(SEARCH("FALSE",E119)))</formula>
    </cfRule>
    <cfRule type="containsText" dxfId="113" priority="30" operator="containsText" text="TRUE">
      <formula>NOT(ISERROR(SEARCH("TRUE",E119)))</formula>
    </cfRule>
  </conditionalFormatting>
  <conditionalFormatting sqref="E154:G154 E166:G167">
    <cfRule type="containsText" dxfId="111" priority="15" operator="containsText" text="FALSE">
      <formula>NOT(ISERROR(SEARCH("FALSE",E154)))</formula>
    </cfRule>
    <cfRule type="containsText" dxfId="110" priority="16" operator="containsText" text="TRUE">
      <formula>NOT(ISERROR(SEARCH("TRUE",E154)))</formula>
    </cfRule>
  </conditionalFormatting>
  <conditionalFormatting sqref="E156:G157 E365:G365 E425:I440">
    <cfRule type="containsText" dxfId="108" priority="35" operator="containsText" text="FALSE">
      <formula>NOT(ISERROR(SEARCH("FALSE",E156)))</formula>
    </cfRule>
    <cfRule type="containsText" dxfId="109" priority="36" operator="containsText" text="TRUE">
      <formula>NOT(ISERROR(SEARCH("TRUE",E156)))</formula>
    </cfRule>
  </conditionalFormatting>
  <conditionalFormatting sqref="E188:G188">
    <cfRule type="containsText" dxfId="107" priority="13" operator="containsText" text="FALSE">
      <formula>NOT(ISERROR(SEARCH("FALSE",E188)))</formula>
    </cfRule>
    <cfRule type="containsText" dxfId="106" priority="14" operator="containsText" text="TRUE">
      <formula>NOT(ISERROR(SEARCH("TRUE",E188)))</formula>
    </cfRule>
  </conditionalFormatting>
  <conditionalFormatting sqref="E191:G191">
    <cfRule type="containsText" dxfId="104" priority="27" operator="containsText" text="FALSE">
      <formula>NOT(ISERROR(SEARCH("FALSE",E191)))</formula>
    </cfRule>
    <cfRule type="containsText" dxfId="105" priority="28" operator="containsText" text="TRUE">
      <formula>NOT(ISERROR(SEARCH("TRUE",E191)))</formula>
    </cfRule>
  </conditionalFormatting>
  <conditionalFormatting sqref="E205:G208">
    <cfRule type="containsText" dxfId="102" priority="25" operator="containsText" text="FALSE">
      <formula>NOT(ISERROR(SEARCH("FALSE",E205)))</formula>
    </cfRule>
    <cfRule type="containsText" dxfId="103" priority="26" operator="containsText" text="TRUE">
      <formula>NOT(ISERROR(SEARCH("TRUE",E205)))</formula>
    </cfRule>
  </conditionalFormatting>
  <conditionalFormatting sqref="E263:G263">
    <cfRule type="containsText" dxfId="100" priority="23" operator="containsText" text="FALSE">
      <formula>NOT(ISERROR(SEARCH("FALSE",E263)))</formula>
    </cfRule>
    <cfRule type="containsText" dxfId="101" priority="24" operator="containsText" text="TRUE">
      <formula>NOT(ISERROR(SEARCH("TRUE",E263)))</formula>
    </cfRule>
  </conditionalFormatting>
  <conditionalFormatting sqref="E277:G279">
    <cfRule type="containsText" dxfId="99" priority="19" operator="containsText" text="FALSE">
      <formula>NOT(ISERROR(SEARCH("FALSE",E277)))</formula>
    </cfRule>
    <cfRule type="containsText" dxfId="98" priority="20" operator="containsText" text="TRUE">
      <formula>NOT(ISERROR(SEARCH("TRUE",E277)))</formula>
    </cfRule>
  </conditionalFormatting>
  <conditionalFormatting sqref="E342:G344">
    <cfRule type="containsText" dxfId="97" priority="21" operator="containsText" text="FALSE">
      <formula>NOT(ISERROR(SEARCH("FALSE",E342)))</formula>
    </cfRule>
    <cfRule type="containsText" dxfId="96" priority="22" operator="containsText" text="TRUE">
      <formula>NOT(ISERROR(SEARCH("TRUE",E342)))</formula>
    </cfRule>
  </conditionalFormatting>
  <conditionalFormatting sqref="E376:G378">
    <cfRule type="containsText" dxfId="94" priority="9" operator="containsText" text="FALSE">
      <formula>NOT(ISERROR(SEARCH("FALSE",E376)))</formula>
    </cfRule>
    <cfRule type="containsText" dxfId="95" priority="10" operator="containsText" text="TRUE">
      <formula>NOT(ISERROR(SEARCH("TRUE",E376)))</formula>
    </cfRule>
  </conditionalFormatting>
  <conditionalFormatting sqref="E395:G395">
    <cfRule type="containsText" dxfId="92" priority="17" operator="containsText" text="FALSE">
      <formula>NOT(ISERROR(SEARCH("FALSE",E395)))</formula>
    </cfRule>
    <cfRule type="containsText" dxfId="93" priority="18" operator="containsText" text="TRUE">
      <formula>NOT(ISERROR(SEARCH("TRUE",E395)))</formula>
    </cfRule>
  </conditionalFormatting>
  <conditionalFormatting sqref="E515:G515">
    <cfRule type="containsText" dxfId="90" priority="1" operator="containsText" text="FALSE">
      <formula>NOT(ISERROR(SEARCH("FALSE",E515)))</formula>
    </cfRule>
    <cfRule type="containsText" dxfId="91" priority="2" operator="containsText" text="TRUE">
      <formula>NOT(ISERROR(SEARCH("TRUE",E515)))</formula>
    </cfRule>
  </conditionalFormatting>
  <conditionalFormatting sqref="E420:I423">
    <cfRule type="containsText" dxfId="88" priority="3" operator="containsText" text="FALSE">
      <formula>NOT(ISERROR(SEARCH("FALSE",E420)))</formula>
    </cfRule>
    <cfRule type="containsText" dxfId="89" priority="4" operator="containsText" text="TRUE">
      <formula>NOT(ISERROR(SEARCH("TRUE",E420)))</formula>
    </cfRule>
  </conditionalFormatting>
  <conditionalFormatting sqref="G449">
    <cfRule type="containsText" dxfId="86" priority="11" operator="containsText" text="FALSE">
      <formula>NOT(ISERROR(SEARCH("FALSE",G449)))</formula>
    </cfRule>
    <cfRule type="containsText" dxfId="87" priority="12" operator="containsText" text="TRUE">
      <formula>NOT(ISERROR(SEARCH("TRUE",G449)))</formula>
    </cfRule>
  </conditionalFormatting>
  <conditionalFormatting sqref="G515">
    <cfRule type="containsText" dxfId="85" priority="33" operator="containsText" text="FALSE">
      <formula>NOT(ISERROR(SEARCH("FALSE",G515)))</formula>
    </cfRule>
    <cfRule type="containsText" dxfId="84" priority="34" operator="containsText" text="TRUE">
      <formula>NOT(ISERROR(SEARCH("TRUE",G515)))</formula>
    </cfRule>
  </conditionalFormatting>
  <dataValidations count="1">
    <dataValidation type="list" allowBlank="1" showInputMessage="1" showErrorMessage="1" sqref="E281:F281" xr:uid="{A3E84922-F0DF-4560-89C9-22F40C06D7D7}">
      <formula1>"Y, N"</formula1>
    </dataValidation>
  </dataValidations>
  <pageMargins left="0.7" right="0.7" top="0.75" bottom="0.75" header="0.3" footer="0.3"/>
  <pageSetup paperSize="9" orientation="portrait" r:id="rId1"/>
  <headerFooter>
    <oddFooter>&amp;C&amp;7&amp;B&amp;"Arial"Document Classification: KPMG Confidential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4D01A-D189-4234-9EE4-7EEFEAAD0F96}">
  <sheetPr>
    <tabColor rgb="FF0070C0"/>
  </sheetPr>
  <dimension ref="A1:O509"/>
  <sheetViews>
    <sheetView showGridLines="0" topLeftCell="A280" zoomScale="85" zoomScaleNormal="85" workbookViewId="0">
      <selection activeCell="E374" sqref="E374"/>
    </sheetView>
  </sheetViews>
  <sheetFormatPr defaultColWidth="9.140625" defaultRowHeight="15" outlineLevelRow="1" x14ac:dyDescent="0.25"/>
  <cols>
    <col min="1" max="1" width="9.140625" customWidth="1"/>
    <col min="2" max="2" width="7.85546875" customWidth="1"/>
    <col min="3" max="3" width="8.5703125" customWidth="1"/>
    <col min="4" max="4" width="78.7109375" customWidth="1"/>
    <col min="5" max="5" width="17.5703125" style="545" customWidth="1"/>
    <col min="6" max="7" width="17.5703125" style="546" customWidth="1"/>
    <col min="8" max="8" width="19.85546875" style="428" customWidth="1"/>
    <col min="9" max="9" width="23.7109375" style="428" customWidth="1"/>
    <col min="10" max="14" width="17.5703125" customWidth="1"/>
    <col min="16" max="16" width="14.140625" customWidth="1"/>
  </cols>
  <sheetData>
    <row r="1" spans="1:11" ht="15.75" customHeight="1" x14ac:dyDescent="0.25">
      <c r="A1" s="1"/>
      <c r="B1" s="2" t="s">
        <v>430</v>
      </c>
      <c r="C1" s="2"/>
      <c r="D1" s="2"/>
      <c r="E1" s="3"/>
      <c r="F1" s="4"/>
      <c r="G1" s="429"/>
      <c r="H1" s="430"/>
      <c r="I1" s="430"/>
    </row>
    <row r="2" spans="1:11" ht="11.25" customHeight="1" x14ac:dyDescent="0.25">
      <c r="A2" s="1"/>
      <c r="B2" s="2"/>
      <c r="C2" s="2"/>
      <c r="D2" s="2"/>
      <c r="E2" s="3"/>
      <c r="F2" s="4"/>
      <c r="G2" s="429"/>
      <c r="H2" s="430"/>
      <c r="I2" s="430"/>
    </row>
    <row r="3" spans="1:11" ht="24" customHeight="1" x14ac:dyDescent="0.25">
      <c r="A3" s="5"/>
      <c r="B3" s="6" t="s">
        <v>1</v>
      </c>
      <c r="C3" s="6"/>
      <c r="D3" s="7"/>
      <c r="E3" s="8"/>
      <c r="F3" s="9"/>
      <c r="G3" s="431"/>
      <c r="H3" s="432"/>
      <c r="I3" s="432"/>
    </row>
    <row r="4" spans="1:11" x14ac:dyDescent="0.25">
      <c r="A4" s="10"/>
      <c r="B4" s="11"/>
      <c r="C4" s="11"/>
      <c r="D4" s="12"/>
      <c r="E4" s="13"/>
      <c r="F4" s="14"/>
      <c r="G4" s="15"/>
      <c r="H4" s="16"/>
      <c r="I4" s="16"/>
    </row>
    <row r="5" spans="1:11" x14ac:dyDescent="0.25">
      <c r="A5" s="10"/>
      <c r="B5" s="11"/>
      <c r="C5" s="11"/>
      <c r="D5" s="17" t="s">
        <v>2</v>
      </c>
      <c r="E5" s="433" t="s">
        <v>431</v>
      </c>
      <c r="F5" s="434"/>
      <c r="G5" s="435"/>
      <c r="H5" s="436" t="s">
        <v>4</v>
      </c>
      <c r="I5" s="21" t="s">
        <v>5</v>
      </c>
    </row>
    <row r="6" spans="1:11" x14ac:dyDescent="0.25">
      <c r="A6" s="10"/>
      <c r="B6" s="11"/>
      <c r="C6" s="11"/>
      <c r="D6" s="17" t="s">
        <v>6</v>
      </c>
      <c r="E6" s="437">
        <v>2024</v>
      </c>
      <c r="F6" s="438">
        <v>2023</v>
      </c>
      <c r="G6" s="23">
        <v>2022</v>
      </c>
      <c r="H6" s="436"/>
      <c r="I6" s="21"/>
    </row>
    <row r="7" spans="1:11" x14ac:dyDescent="0.25">
      <c r="A7" s="10"/>
      <c r="B7" s="25" t="s">
        <v>7</v>
      </c>
      <c r="C7" s="26"/>
      <c r="D7" s="27"/>
      <c r="E7" s="28"/>
      <c r="F7" s="29"/>
      <c r="G7" s="30"/>
      <c r="H7" s="31"/>
      <c r="I7" s="31"/>
    </row>
    <row r="8" spans="1:11" x14ac:dyDescent="0.25">
      <c r="A8" s="10"/>
      <c r="B8" s="11"/>
      <c r="C8" s="32" t="s">
        <v>8</v>
      </c>
      <c r="D8" s="33"/>
      <c r="E8" s="439">
        <f>SUM(E9:E10)</f>
        <v>94820</v>
      </c>
      <c r="F8" s="440">
        <f>SUM(F9:F11)</f>
        <v>92156</v>
      </c>
      <c r="G8" s="441">
        <f>SUM(G9:G11)</f>
        <v>36375</v>
      </c>
      <c r="H8" s="37"/>
      <c r="I8" s="37"/>
      <c r="J8" s="38"/>
      <c r="K8" s="38"/>
    </row>
    <row r="9" spans="1:11" s="44" customFormat="1" x14ac:dyDescent="0.25">
      <c r="A9" s="39"/>
      <c r="B9" s="32"/>
      <c r="C9" s="11"/>
      <c r="D9" s="33" t="s">
        <v>9</v>
      </c>
      <c r="E9" s="40">
        <v>56443</v>
      </c>
      <c r="F9" s="41">
        <f>56063</f>
        <v>56063</v>
      </c>
      <c r="G9" s="42">
        <f>25900</f>
        <v>25900</v>
      </c>
      <c r="H9" s="43" t="s">
        <v>432</v>
      </c>
      <c r="I9" s="43" t="s">
        <v>433</v>
      </c>
      <c r="J9" s="38"/>
      <c r="K9" s="38"/>
    </row>
    <row r="10" spans="1:11" s="44" customFormat="1" x14ac:dyDescent="0.25">
      <c r="A10" s="39"/>
      <c r="B10" s="32"/>
      <c r="C10" s="11"/>
      <c r="D10" s="33" t="s">
        <v>12</v>
      </c>
      <c r="E10" s="40">
        <v>38377</v>
      </c>
      <c r="F10" s="41">
        <f>36082+11</f>
        <v>36093</v>
      </c>
      <c r="G10" s="42">
        <f>10463+12</f>
        <v>10475</v>
      </c>
      <c r="H10" s="43" t="s">
        <v>434</v>
      </c>
      <c r="I10" s="43" t="s">
        <v>435</v>
      </c>
      <c r="J10" s="38"/>
      <c r="K10" s="38"/>
    </row>
    <row r="11" spans="1:11" x14ac:dyDescent="0.25">
      <c r="A11" s="10"/>
      <c r="B11" s="11"/>
      <c r="C11" s="11"/>
      <c r="D11" s="33" t="s">
        <v>13</v>
      </c>
      <c r="E11" s="40">
        <v>0</v>
      </c>
      <c r="F11" s="41">
        <v>0</v>
      </c>
      <c r="G11" s="42">
        <v>0</v>
      </c>
      <c r="H11" s="43"/>
      <c r="I11" s="43" t="s">
        <v>436</v>
      </c>
    </row>
    <row r="12" spans="1:11" x14ac:dyDescent="0.25">
      <c r="A12" s="10"/>
      <c r="B12" s="11"/>
      <c r="C12" s="11"/>
      <c r="D12" s="33"/>
      <c r="E12" s="40"/>
      <c r="F12" s="41"/>
      <c r="G12" s="42"/>
      <c r="H12" s="37"/>
      <c r="I12" s="37"/>
    </row>
    <row r="13" spans="1:11" x14ac:dyDescent="0.25">
      <c r="A13" s="10"/>
      <c r="B13" s="11"/>
      <c r="C13" s="32" t="s">
        <v>14</v>
      </c>
      <c r="D13" s="33"/>
      <c r="E13" s="439">
        <f>SUM(E14:E15)</f>
        <v>7773</v>
      </c>
      <c r="F13" s="440">
        <f>SUM(F14:F15)</f>
        <v>7205</v>
      </c>
      <c r="G13" s="441">
        <f>SUM(G14:G15)</f>
        <v>5714</v>
      </c>
      <c r="H13" s="37"/>
      <c r="I13" s="37"/>
    </row>
    <row r="14" spans="1:11" s="44" customFormat="1" x14ac:dyDescent="0.25">
      <c r="A14" s="39"/>
      <c r="B14" s="32"/>
      <c r="C14" s="11"/>
      <c r="D14" s="33" t="s">
        <v>9</v>
      </c>
      <c r="E14" s="40">
        <v>5781</v>
      </c>
      <c r="F14" s="41">
        <v>5401</v>
      </c>
      <c r="G14" s="42">
        <v>3963</v>
      </c>
      <c r="H14" s="43" t="s">
        <v>437</v>
      </c>
      <c r="I14" s="43" t="s">
        <v>436</v>
      </c>
    </row>
    <row r="15" spans="1:11" s="44" customFormat="1" x14ac:dyDescent="0.25">
      <c r="A15" s="39"/>
      <c r="B15" s="32"/>
      <c r="C15" s="11"/>
      <c r="D15" s="33" t="s">
        <v>13</v>
      </c>
      <c r="E15" s="40">
        <v>1992</v>
      </c>
      <c r="F15" s="41">
        <v>1804</v>
      </c>
      <c r="G15" s="42">
        <v>1751</v>
      </c>
      <c r="H15" s="43" t="s">
        <v>437</v>
      </c>
      <c r="I15" s="43" t="s">
        <v>436</v>
      </c>
    </row>
    <row r="16" spans="1:11" x14ac:dyDescent="0.25">
      <c r="A16" s="10"/>
      <c r="B16" s="11"/>
      <c r="C16" s="11"/>
      <c r="D16" s="47"/>
      <c r="E16" s="40"/>
      <c r="F16" s="41"/>
      <c r="G16" s="42"/>
      <c r="H16" s="37"/>
      <c r="I16" s="37"/>
    </row>
    <row r="17" spans="1:9" x14ac:dyDescent="0.25">
      <c r="A17" s="10"/>
      <c r="B17" s="11"/>
      <c r="C17" s="32" t="s">
        <v>15</v>
      </c>
      <c r="D17" s="33"/>
      <c r="E17" s="45">
        <f>SUM(E18:E19)</f>
        <v>0</v>
      </c>
      <c r="F17" s="46">
        <f>SUM(F18:F19)</f>
        <v>0</v>
      </c>
      <c r="G17" s="36">
        <f>SUM(G18:G19)</f>
        <v>0</v>
      </c>
      <c r="H17" s="37"/>
      <c r="I17" s="37"/>
    </row>
    <row r="18" spans="1:9" x14ac:dyDescent="0.25">
      <c r="A18" s="10"/>
      <c r="B18" s="11"/>
      <c r="C18" s="11"/>
      <c r="D18" s="33" t="s">
        <v>9</v>
      </c>
      <c r="E18" s="40">
        <v>0</v>
      </c>
      <c r="F18" s="41">
        <v>0</v>
      </c>
      <c r="G18" s="42">
        <v>0</v>
      </c>
      <c r="H18" s="37"/>
      <c r="I18" s="37"/>
    </row>
    <row r="19" spans="1:9" x14ac:dyDescent="0.25">
      <c r="A19" s="10"/>
      <c r="B19" s="11"/>
      <c r="C19" s="11"/>
      <c r="D19" s="33" t="s">
        <v>13</v>
      </c>
      <c r="E19" s="40">
        <v>0</v>
      </c>
      <c r="F19" s="41">
        <v>0</v>
      </c>
      <c r="G19" s="42">
        <v>0</v>
      </c>
      <c r="H19" s="37"/>
      <c r="I19" s="37"/>
    </row>
    <row r="20" spans="1:9" x14ac:dyDescent="0.25">
      <c r="A20" s="10"/>
      <c r="B20" s="11"/>
      <c r="C20" s="11"/>
      <c r="D20" s="33"/>
      <c r="E20" s="40"/>
      <c r="F20" s="41"/>
      <c r="G20" s="42"/>
      <c r="H20" s="37"/>
      <c r="I20" s="37"/>
    </row>
    <row r="21" spans="1:9" x14ac:dyDescent="0.25">
      <c r="A21" s="10"/>
      <c r="B21" s="11"/>
      <c r="C21" s="32" t="s">
        <v>16</v>
      </c>
      <c r="D21" s="33"/>
      <c r="E21" s="45">
        <f>+SUM(E22:E24)</f>
        <v>102593</v>
      </c>
      <c r="F21" s="46">
        <f>+SUM(F22:F24)</f>
        <v>99361</v>
      </c>
      <c r="G21" s="36">
        <f>+SUM(G22:G24)</f>
        <v>42089</v>
      </c>
      <c r="H21" s="37"/>
      <c r="I21" s="37"/>
    </row>
    <row r="22" spans="1:9" x14ac:dyDescent="0.25">
      <c r="A22" s="10"/>
      <c r="B22" s="11"/>
      <c r="C22" s="11"/>
      <c r="D22" s="442" t="s">
        <v>9</v>
      </c>
      <c r="E22" s="40">
        <f>SUM(E9,E14,E17)</f>
        <v>62224</v>
      </c>
      <c r="F22" s="41">
        <f>SUM(F9,F14,F17)</f>
        <v>61464</v>
      </c>
      <c r="G22" s="42">
        <f>SUM(G9,G14,G17)</f>
        <v>29863</v>
      </c>
      <c r="H22" s="48" t="s">
        <v>17</v>
      </c>
      <c r="I22" s="48" t="s">
        <v>17</v>
      </c>
    </row>
    <row r="23" spans="1:9" x14ac:dyDescent="0.25">
      <c r="A23" s="10"/>
      <c r="B23" s="11"/>
      <c r="C23" s="11"/>
      <c r="D23" s="442" t="s">
        <v>12</v>
      </c>
      <c r="E23" s="40">
        <f>E10</f>
        <v>38377</v>
      </c>
      <c r="F23" s="41">
        <f>F10</f>
        <v>36093</v>
      </c>
      <c r="G23" s="42">
        <f>G10</f>
        <v>10475</v>
      </c>
      <c r="H23" s="48" t="s">
        <v>17</v>
      </c>
      <c r="I23" s="48" t="s">
        <v>17</v>
      </c>
    </row>
    <row r="24" spans="1:9" x14ac:dyDescent="0.25">
      <c r="A24" s="10"/>
      <c r="B24" s="11"/>
      <c r="C24" s="11"/>
      <c r="D24" s="442" t="s">
        <v>13</v>
      </c>
      <c r="E24" s="40">
        <f>SUM(E11,E15,E19)</f>
        <v>1992</v>
      </c>
      <c r="F24" s="41">
        <f>SUM(F11,F15,F19)</f>
        <v>1804</v>
      </c>
      <c r="G24" s="42">
        <f>SUM(G11,G15,G19)</f>
        <v>1751</v>
      </c>
      <c r="H24" s="48" t="s">
        <v>17</v>
      </c>
      <c r="I24" s="48" t="s">
        <v>17</v>
      </c>
    </row>
    <row r="25" spans="1:9" x14ac:dyDescent="0.25">
      <c r="A25" s="10"/>
      <c r="B25" s="11"/>
      <c r="C25" s="11"/>
      <c r="D25" s="33"/>
      <c r="E25" s="45"/>
      <c r="F25" s="46"/>
      <c r="G25" s="36"/>
      <c r="H25" s="37"/>
      <c r="I25" s="37"/>
    </row>
    <row r="26" spans="1:9" x14ac:dyDescent="0.25">
      <c r="A26" s="10"/>
      <c r="B26" s="11"/>
      <c r="C26" s="32" t="s">
        <v>18</v>
      </c>
      <c r="D26" s="33"/>
      <c r="E26" s="45"/>
      <c r="F26" s="46"/>
      <c r="G26" s="36"/>
      <c r="H26" s="37"/>
      <c r="I26" s="37"/>
    </row>
    <row r="27" spans="1:9" x14ac:dyDescent="0.25">
      <c r="A27" s="10"/>
      <c r="B27" s="11"/>
      <c r="C27" s="11"/>
      <c r="D27" s="49" t="s">
        <v>19</v>
      </c>
      <c r="E27" s="45">
        <f>+SUM(E28:E30)</f>
        <v>94939</v>
      </c>
      <c r="F27" s="46">
        <f>+SUM(F28:F30)</f>
        <v>92405</v>
      </c>
      <c r="G27" s="36">
        <f>+SUM(G28:G30)</f>
        <v>35902</v>
      </c>
      <c r="H27" s="37"/>
      <c r="I27" s="37"/>
    </row>
    <row r="28" spans="1:9" x14ac:dyDescent="0.25">
      <c r="A28" s="10"/>
      <c r="B28" s="11"/>
      <c r="C28" s="11"/>
      <c r="D28" s="53" t="s">
        <v>20</v>
      </c>
      <c r="E28" s="58">
        <f t="shared" ref="E28:G30" si="0">+E44+E52</f>
        <v>86523</v>
      </c>
      <c r="F28" s="443">
        <f t="shared" si="0"/>
        <v>84391</v>
      </c>
      <c r="G28" s="443">
        <f t="shared" si="0"/>
        <v>32884</v>
      </c>
      <c r="H28" s="444" t="s">
        <v>21</v>
      </c>
      <c r="I28" s="57" t="s">
        <v>21</v>
      </c>
    </row>
    <row r="29" spans="1:9" x14ac:dyDescent="0.25">
      <c r="A29" s="10"/>
      <c r="B29" s="11"/>
      <c r="C29" s="11"/>
      <c r="D29" s="53" t="s">
        <v>22</v>
      </c>
      <c r="E29" s="58">
        <f t="shared" si="0"/>
        <v>2741</v>
      </c>
      <c r="F29" s="443">
        <f t="shared" si="0"/>
        <v>2846</v>
      </c>
      <c r="G29" s="443">
        <f t="shared" si="0"/>
        <v>1190</v>
      </c>
      <c r="H29" s="444" t="s">
        <v>21</v>
      </c>
      <c r="I29" s="57" t="s">
        <v>21</v>
      </c>
    </row>
    <row r="30" spans="1:9" x14ac:dyDescent="0.25">
      <c r="A30" s="10"/>
      <c r="B30" s="11"/>
      <c r="C30" s="11"/>
      <c r="D30" s="53" t="s">
        <v>23</v>
      </c>
      <c r="E30" s="58">
        <f t="shared" si="0"/>
        <v>5675</v>
      </c>
      <c r="F30" s="443">
        <f t="shared" si="0"/>
        <v>5168</v>
      </c>
      <c r="G30" s="443">
        <f t="shared" si="0"/>
        <v>1828</v>
      </c>
      <c r="H30" s="444" t="s">
        <v>21</v>
      </c>
      <c r="I30" s="57" t="s">
        <v>21</v>
      </c>
    </row>
    <row r="31" spans="1:9" x14ac:dyDescent="0.25">
      <c r="A31" s="10"/>
      <c r="B31" s="11"/>
      <c r="C31" s="11"/>
      <c r="D31" s="49" t="s">
        <v>24</v>
      </c>
      <c r="E31" s="45">
        <f>+E59</f>
        <v>-138</v>
      </c>
      <c r="F31" s="46">
        <f>+F59</f>
        <v>-239</v>
      </c>
      <c r="G31" s="46">
        <f>+G59</f>
        <v>14</v>
      </c>
      <c r="H31" s="444" t="s">
        <v>21</v>
      </c>
      <c r="I31" s="57" t="s">
        <v>21</v>
      </c>
    </row>
    <row r="32" spans="1:9" x14ac:dyDescent="0.25">
      <c r="A32" s="10"/>
      <c r="B32" s="445"/>
      <c r="D32" s="49" t="s">
        <v>25</v>
      </c>
      <c r="E32" s="45">
        <f>+SUM(E33:E34)</f>
        <v>5662</v>
      </c>
      <c r="F32" s="46">
        <f>+SUM(F33:F34)</f>
        <v>5152</v>
      </c>
      <c r="G32" s="36">
        <f>+SUM(G33:G34)</f>
        <v>4436</v>
      </c>
      <c r="H32" s="37"/>
      <c r="I32" s="37"/>
    </row>
    <row r="33" spans="1:11" x14ac:dyDescent="0.25">
      <c r="A33" s="10"/>
      <c r="B33" s="11"/>
      <c r="C33" s="11"/>
      <c r="D33" s="53" t="s">
        <v>20</v>
      </c>
      <c r="E33" s="58">
        <f t="shared" ref="E33:G34" si="1">+E48+E56</f>
        <v>5662</v>
      </c>
      <c r="F33" s="443">
        <f t="shared" si="1"/>
        <v>5152</v>
      </c>
      <c r="G33" s="443">
        <f t="shared" si="1"/>
        <v>4436</v>
      </c>
      <c r="H33" s="444" t="s">
        <v>21</v>
      </c>
      <c r="I33" s="57" t="s">
        <v>21</v>
      </c>
    </row>
    <row r="34" spans="1:11" x14ac:dyDescent="0.25">
      <c r="A34" s="10"/>
      <c r="B34" s="11"/>
      <c r="C34" s="11"/>
      <c r="D34" s="53" t="s">
        <v>22</v>
      </c>
      <c r="E34" s="58">
        <f t="shared" si="1"/>
        <v>0</v>
      </c>
      <c r="F34" s="443">
        <f t="shared" si="1"/>
        <v>0</v>
      </c>
      <c r="G34" s="443">
        <f t="shared" si="1"/>
        <v>0</v>
      </c>
      <c r="H34" s="444" t="s">
        <v>21</v>
      </c>
      <c r="I34" s="57" t="s">
        <v>21</v>
      </c>
      <c r="J34" s="127"/>
      <c r="K34" s="127"/>
    </row>
    <row r="35" spans="1:11" x14ac:dyDescent="0.25">
      <c r="A35" s="10"/>
      <c r="B35" s="11"/>
      <c r="C35" s="11"/>
      <c r="D35" s="49" t="s">
        <v>26</v>
      </c>
      <c r="E35" s="45">
        <f>+SUM(E36:E37)</f>
        <v>2130</v>
      </c>
      <c r="F35" s="46">
        <f>+SUM(F36:F37)</f>
        <v>2043</v>
      </c>
      <c r="G35" s="36">
        <f>+SUM(G36:G37)</f>
        <v>1737</v>
      </c>
      <c r="H35" s="37"/>
      <c r="I35" s="37"/>
    </row>
    <row r="36" spans="1:11" x14ac:dyDescent="0.25">
      <c r="A36" s="10"/>
      <c r="B36" s="445"/>
      <c r="C36" s="11"/>
      <c r="D36" s="53" t="s">
        <v>20</v>
      </c>
      <c r="E36" s="58">
        <f t="shared" ref="E36:G37" si="2">+E61</f>
        <v>2059</v>
      </c>
      <c r="F36" s="443">
        <f t="shared" si="2"/>
        <v>1975</v>
      </c>
      <c r="G36" s="443">
        <f t="shared" si="2"/>
        <v>1682</v>
      </c>
      <c r="H36" s="444" t="s">
        <v>21</v>
      </c>
      <c r="I36" s="57" t="s">
        <v>21</v>
      </c>
    </row>
    <row r="37" spans="1:11" x14ac:dyDescent="0.25">
      <c r="A37" s="10"/>
      <c r="B37" s="11"/>
      <c r="C37" s="11"/>
      <c r="D37" s="53" t="s">
        <v>22</v>
      </c>
      <c r="E37" s="58">
        <f t="shared" si="2"/>
        <v>71</v>
      </c>
      <c r="F37" s="443">
        <f t="shared" si="2"/>
        <v>68</v>
      </c>
      <c r="G37" s="443">
        <f t="shared" si="2"/>
        <v>55</v>
      </c>
      <c r="H37" s="444" t="s">
        <v>21</v>
      </c>
      <c r="I37" s="57" t="s">
        <v>21</v>
      </c>
    </row>
    <row r="38" spans="1:11" x14ac:dyDescent="0.25">
      <c r="A38" s="10"/>
      <c r="B38" s="11"/>
      <c r="C38" s="11"/>
      <c r="D38" s="49" t="s">
        <v>27</v>
      </c>
      <c r="E38" s="45">
        <v>-11</v>
      </c>
      <c r="F38" s="46">
        <v>-11</v>
      </c>
      <c r="G38" s="36">
        <v>-12</v>
      </c>
      <c r="H38" s="43" t="s">
        <v>438</v>
      </c>
      <c r="I38" s="43" t="s">
        <v>439</v>
      </c>
    </row>
    <row r="39" spans="1:11" x14ac:dyDescent="0.25">
      <c r="A39" s="10"/>
      <c r="B39" s="11"/>
      <c r="C39" s="11"/>
      <c r="D39" s="49" t="s">
        <v>30</v>
      </c>
      <c r="E39" s="45">
        <v>52</v>
      </c>
      <c r="F39" s="46">
        <v>34</v>
      </c>
      <c r="G39" s="36">
        <v>27</v>
      </c>
      <c r="H39" s="43" t="s">
        <v>440</v>
      </c>
      <c r="I39" s="43" t="s">
        <v>441</v>
      </c>
    </row>
    <row r="40" spans="1:11" ht="15.75" thickBot="1" x14ac:dyDescent="0.3">
      <c r="A40" s="10"/>
      <c r="B40" s="11"/>
      <c r="C40" s="11"/>
      <c r="D40" s="446"/>
      <c r="E40" s="67">
        <f>E27+E31+E32+E38+E39+E35</f>
        <v>102634</v>
      </c>
      <c r="F40" s="68">
        <f>F27+F31+F32+F38+F39+F35</f>
        <v>99384</v>
      </c>
      <c r="G40" s="447">
        <f>G27+G31+G32+G38+G39+G35</f>
        <v>42104</v>
      </c>
      <c r="H40" s="37"/>
      <c r="I40" s="37" t="s">
        <v>442</v>
      </c>
    </row>
    <row r="41" spans="1:11" ht="15.75" thickTop="1" x14ac:dyDescent="0.25">
      <c r="A41" s="10"/>
      <c r="B41" s="445"/>
      <c r="D41" s="78"/>
      <c r="E41" s="71" t="b">
        <f>E21=(E40-E38-E39)</f>
        <v>1</v>
      </c>
      <c r="F41" s="72" t="b">
        <f>F21=(F40-F38-F39)</f>
        <v>1</v>
      </c>
      <c r="G41" s="73" t="b">
        <f>G21=(G40-G38-G39)</f>
        <v>1</v>
      </c>
      <c r="H41" s="448"/>
      <c r="I41" s="74"/>
    </row>
    <row r="42" spans="1:11" x14ac:dyDescent="0.25">
      <c r="A42" s="10"/>
      <c r="B42" s="11"/>
      <c r="C42" s="11"/>
      <c r="D42" s="49" t="s">
        <v>34</v>
      </c>
      <c r="E42" s="34"/>
      <c r="F42" s="35"/>
      <c r="G42" s="449"/>
      <c r="H42" s="448"/>
      <c r="I42" s="74"/>
    </row>
    <row r="43" spans="1:11" x14ac:dyDescent="0.25">
      <c r="A43" s="10"/>
      <c r="B43" s="445"/>
      <c r="D43" s="33" t="s">
        <v>35</v>
      </c>
      <c r="E43" s="100">
        <f>+SUM(E44:E46)</f>
        <v>94378</v>
      </c>
      <c r="F43" s="101">
        <f>+SUM(F44:F46)</f>
        <v>91670</v>
      </c>
      <c r="G43" s="102">
        <f>+SUM(G44:G46)</f>
        <v>36129</v>
      </c>
      <c r="H43" s="448"/>
      <c r="I43" s="74"/>
    </row>
    <row r="44" spans="1:11" x14ac:dyDescent="0.25">
      <c r="A44" s="10"/>
      <c r="B44" s="445"/>
      <c r="C44" s="11"/>
      <c r="D44" s="53" t="s">
        <v>20</v>
      </c>
      <c r="E44" s="58">
        <f>36587+50327-E48</f>
        <v>86472</v>
      </c>
      <c r="F44" s="443">
        <f>50313+34288-F48</f>
        <v>84115</v>
      </c>
      <c r="G44" s="450">
        <f>23339+10244-G48</f>
        <v>33338</v>
      </c>
      <c r="H44" s="451" t="s">
        <v>443</v>
      </c>
      <c r="I44" s="43" t="s">
        <v>444</v>
      </c>
    </row>
    <row r="45" spans="1:11" x14ac:dyDescent="0.25">
      <c r="A45" s="10"/>
      <c r="B45" s="445"/>
      <c r="C45" s="11"/>
      <c r="D45" s="53" t="s">
        <v>22</v>
      </c>
      <c r="E45" s="58">
        <f>1994+530</f>
        <v>2524</v>
      </c>
      <c r="F45" s="443">
        <f>2082+541</f>
        <v>2623</v>
      </c>
      <c r="G45" s="450">
        <f>69+963</f>
        <v>1032</v>
      </c>
      <c r="H45" s="451" t="s">
        <v>443</v>
      </c>
      <c r="I45" s="43" t="s">
        <v>444</v>
      </c>
    </row>
    <row r="46" spans="1:11" x14ac:dyDescent="0.25">
      <c r="A46" s="10"/>
      <c r="B46" s="445"/>
      <c r="C46" s="11"/>
      <c r="D46" s="53" t="s">
        <v>23</v>
      </c>
      <c r="E46" s="58">
        <f>4122+1260</f>
        <v>5382</v>
      </c>
      <c r="F46" s="443">
        <f>3668+1264</f>
        <v>4932</v>
      </c>
      <c r="G46" s="450">
        <f>1598+162-1</f>
        <v>1759</v>
      </c>
      <c r="H46" s="451" t="s">
        <v>443</v>
      </c>
      <c r="I46" s="43" t="s">
        <v>444</v>
      </c>
      <c r="J46" s="452">
        <f>+(E46-F46)/E46</f>
        <v>8.3612040133779264E-2</v>
      </c>
    </row>
    <row r="47" spans="1:11" x14ac:dyDescent="0.25">
      <c r="A47" s="10"/>
      <c r="B47" s="11"/>
      <c r="C47" s="11"/>
      <c r="D47" s="33" t="s">
        <v>41</v>
      </c>
      <c r="E47" s="100">
        <f>+SUM(E48:E49)</f>
        <v>442</v>
      </c>
      <c r="F47" s="101">
        <f>+SUM(F48:F49)</f>
        <v>486</v>
      </c>
      <c r="G47" s="102">
        <f>+SUM(G48:G49)</f>
        <v>245</v>
      </c>
      <c r="H47" s="448"/>
      <c r="I47" s="74"/>
    </row>
    <row r="48" spans="1:11" x14ac:dyDescent="0.25">
      <c r="A48" s="10"/>
      <c r="B48" s="11"/>
      <c r="C48" s="11"/>
      <c r="D48" s="53" t="s">
        <v>20</v>
      </c>
      <c r="E48" s="58">
        <f>220+222</f>
        <v>442</v>
      </c>
      <c r="F48" s="443">
        <f>258+228</f>
        <v>486</v>
      </c>
      <c r="G48" s="450">
        <f>141+104</f>
        <v>245</v>
      </c>
      <c r="H48" s="451" t="s">
        <v>445</v>
      </c>
      <c r="I48" s="43" t="s">
        <v>446</v>
      </c>
    </row>
    <row r="49" spans="1:10" x14ac:dyDescent="0.25">
      <c r="A49" s="10"/>
      <c r="B49" s="11"/>
      <c r="C49" s="11"/>
      <c r="D49" s="53" t="s">
        <v>22</v>
      </c>
      <c r="E49" s="58">
        <v>0</v>
      </c>
      <c r="F49" s="443">
        <v>0</v>
      </c>
      <c r="G49" s="450">
        <v>0</v>
      </c>
      <c r="H49" s="451" t="s">
        <v>445</v>
      </c>
      <c r="I49" s="43" t="s">
        <v>447</v>
      </c>
    </row>
    <row r="50" spans="1:10" x14ac:dyDescent="0.25">
      <c r="A50" s="10"/>
      <c r="B50" s="445"/>
      <c r="C50" s="11"/>
      <c r="D50" s="49" t="s">
        <v>43</v>
      </c>
      <c r="E50" s="84"/>
      <c r="F50" s="85"/>
      <c r="G50" s="86"/>
      <c r="H50" s="448"/>
      <c r="I50" s="74"/>
    </row>
    <row r="51" spans="1:10" x14ac:dyDescent="0.25">
      <c r="A51" s="10"/>
      <c r="B51" s="11"/>
      <c r="C51" s="453">
        <f>+(E51-F51)/F51</f>
        <v>-0.23673469387755103</v>
      </c>
      <c r="D51" s="33" t="s">
        <v>35</v>
      </c>
      <c r="E51" s="100">
        <f>+SUM(E52:E54)</f>
        <v>561</v>
      </c>
      <c r="F51" s="101">
        <f>+SUM(F52:F54)</f>
        <v>735</v>
      </c>
      <c r="G51" s="102">
        <f>+SUM(G52:G54)</f>
        <v>-227</v>
      </c>
      <c r="H51" s="448"/>
      <c r="I51" s="74"/>
    </row>
    <row r="52" spans="1:10" x14ac:dyDescent="0.25">
      <c r="A52" s="10"/>
      <c r="B52" s="11"/>
      <c r="C52" s="453">
        <f t="shared" ref="C52:C54" si="3">+(E52-F52)/F52</f>
        <v>-0.81521739130434778</v>
      </c>
      <c r="D52" s="53" t="s">
        <v>20</v>
      </c>
      <c r="E52" s="58">
        <f>5271-E56</f>
        <v>51</v>
      </c>
      <c r="F52" s="443">
        <f>4942-F56</f>
        <v>276</v>
      </c>
      <c r="G52" s="450">
        <f>3737-G56</f>
        <v>-454</v>
      </c>
      <c r="H52" s="451" t="s">
        <v>448</v>
      </c>
      <c r="I52" s="43" t="s">
        <v>449</v>
      </c>
    </row>
    <row r="53" spans="1:10" x14ac:dyDescent="0.25">
      <c r="A53" s="10"/>
      <c r="B53" s="11"/>
      <c r="C53" s="453">
        <f t="shared" si="3"/>
        <v>-2.6905829596412557E-2</v>
      </c>
      <c r="D53" s="53" t="s">
        <v>22</v>
      </c>
      <c r="E53" s="58">
        <f>217</f>
        <v>217</v>
      </c>
      <c r="F53" s="443">
        <f>223</f>
        <v>223</v>
      </c>
      <c r="G53" s="450">
        <v>158</v>
      </c>
      <c r="H53" s="451" t="s">
        <v>448</v>
      </c>
      <c r="I53" s="43" t="s">
        <v>449</v>
      </c>
    </row>
    <row r="54" spans="1:10" x14ac:dyDescent="0.25">
      <c r="A54" s="10"/>
      <c r="B54" s="11"/>
      <c r="C54" s="453">
        <f t="shared" si="3"/>
        <v>0.24152542372881355</v>
      </c>
      <c r="D54" s="53" t="s">
        <v>23</v>
      </c>
      <c r="E54" s="58">
        <f>293</f>
        <v>293</v>
      </c>
      <c r="F54" s="443">
        <f>236</f>
        <v>236</v>
      </c>
      <c r="G54" s="450">
        <f>69</f>
        <v>69</v>
      </c>
      <c r="H54" s="451" t="s">
        <v>448</v>
      </c>
      <c r="I54" s="43" t="s">
        <v>449</v>
      </c>
    </row>
    <row r="55" spans="1:10" x14ac:dyDescent="0.25">
      <c r="A55" s="10"/>
      <c r="B55" s="11"/>
      <c r="C55" s="11"/>
      <c r="D55" s="33" t="s">
        <v>41</v>
      </c>
      <c r="E55" s="100">
        <f>+SUM(E56:E57)</f>
        <v>5220</v>
      </c>
      <c r="F55" s="101">
        <f>+SUM(F56:F57)</f>
        <v>4666</v>
      </c>
      <c r="G55" s="102">
        <f>+SUM(G56:G57)</f>
        <v>4191</v>
      </c>
      <c r="H55" s="448"/>
      <c r="I55" s="74"/>
    </row>
    <row r="56" spans="1:10" x14ac:dyDescent="0.25">
      <c r="A56" s="10"/>
      <c r="B56" s="11"/>
      <c r="C56" s="11"/>
      <c r="D56" s="53" t="s">
        <v>20</v>
      </c>
      <c r="E56" s="58">
        <f>5220</f>
        <v>5220</v>
      </c>
      <c r="F56" s="443">
        <f>4666</f>
        <v>4666</v>
      </c>
      <c r="G56" s="450">
        <f>4191</f>
        <v>4191</v>
      </c>
      <c r="H56" s="451" t="s">
        <v>450</v>
      </c>
      <c r="I56" s="43" t="s">
        <v>451</v>
      </c>
    </row>
    <row r="57" spans="1:10" x14ac:dyDescent="0.25">
      <c r="A57" s="10"/>
      <c r="B57" s="11"/>
      <c r="C57" s="11"/>
      <c r="D57" s="53" t="s">
        <v>22</v>
      </c>
      <c r="E57" s="58">
        <v>0</v>
      </c>
      <c r="F57" s="443">
        <v>0</v>
      </c>
      <c r="G57" s="450">
        <v>0</v>
      </c>
      <c r="H57" s="451" t="s">
        <v>450</v>
      </c>
      <c r="I57" s="43" t="s">
        <v>451</v>
      </c>
    </row>
    <row r="58" spans="1:10" x14ac:dyDescent="0.25">
      <c r="A58" s="10"/>
      <c r="B58" s="445"/>
      <c r="C58" s="11"/>
      <c r="D58" s="49" t="s">
        <v>52</v>
      </c>
      <c r="E58" s="84">
        <v>1992</v>
      </c>
      <c r="F58" s="85">
        <f>+SUM(F59:F60)</f>
        <v>1804</v>
      </c>
      <c r="G58" s="86"/>
      <c r="H58" s="43" t="s">
        <v>452</v>
      </c>
      <c r="I58" s="74"/>
      <c r="J58" s="345"/>
    </row>
    <row r="59" spans="1:10" x14ac:dyDescent="0.25">
      <c r="A59" s="10"/>
      <c r="B59" s="11"/>
      <c r="C59" s="453">
        <f t="shared" ref="C59:C60" si="4">+(E59-F59)/F59</f>
        <v>-0.42259414225941422</v>
      </c>
      <c r="D59" s="33" t="s">
        <v>35</v>
      </c>
      <c r="E59" s="58">
        <f>+E58-E60</f>
        <v>-138</v>
      </c>
      <c r="F59" s="443">
        <f>-242+3</f>
        <v>-239</v>
      </c>
      <c r="G59" s="450">
        <v>14</v>
      </c>
      <c r="H59" s="454" t="s">
        <v>453</v>
      </c>
      <c r="I59" s="43" t="s">
        <v>454</v>
      </c>
      <c r="J59" s="345"/>
    </row>
    <row r="60" spans="1:10" x14ac:dyDescent="0.25">
      <c r="A60" s="10"/>
      <c r="B60" s="11"/>
      <c r="C60" s="453">
        <f t="shared" si="4"/>
        <v>4.2584434654919234E-2</v>
      </c>
      <c r="D60" s="33" t="s">
        <v>41</v>
      </c>
      <c r="E60" s="54">
        <f>+SUM(E61:E62)</f>
        <v>2130</v>
      </c>
      <c r="F60" s="455">
        <f>+SUM(F61:F62)</f>
        <v>2043</v>
      </c>
      <c r="G60" s="456">
        <v>1737</v>
      </c>
      <c r="H60" s="43" t="s">
        <v>450</v>
      </c>
      <c r="I60" s="43" t="s">
        <v>454</v>
      </c>
      <c r="J60" s="345"/>
    </row>
    <row r="61" spans="1:10" x14ac:dyDescent="0.25">
      <c r="A61" s="10"/>
      <c r="B61" s="11"/>
      <c r="C61" s="11"/>
      <c r="D61" s="53" t="s">
        <v>20</v>
      </c>
      <c r="E61" s="58">
        <v>2059</v>
      </c>
      <c r="F61" s="443">
        <v>1975</v>
      </c>
      <c r="G61" s="450">
        <v>1682</v>
      </c>
      <c r="H61" s="43" t="s">
        <v>450</v>
      </c>
      <c r="I61" s="43" t="s">
        <v>454</v>
      </c>
    </row>
    <row r="62" spans="1:10" x14ac:dyDescent="0.25">
      <c r="A62" s="10"/>
      <c r="B62" s="11"/>
      <c r="C62" s="11"/>
      <c r="D62" s="53" t="s">
        <v>22</v>
      </c>
      <c r="E62" s="58">
        <v>71</v>
      </c>
      <c r="F62" s="443">
        <v>68</v>
      </c>
      <c r="G62" s="450">
        <v>55</v>
      </c>
      <c r="H62" s="43" t="s">
        <v>450</v>
      </c>
      <c r="I62" s="43" t="s">
        <v>454</v>
      </c>
    </row>
    <row r="63" spans="1:10" x14ac:dyDescent="0.25">
      <c r="A63" s="10"/>
      <c r="B63" s="11"/>
      <c r="C63" s="11"/>
      <c r="D63" s="33"/>
      <c r="E63" s="84"/>
      <c r="F63" s="85"/>
      <c r="G63" s="86"/>
      <c r="H63" s="74"/>
      <c r="I63" s="74"/>
    </row>
    <row r="64" spans="1:10" x14ac:dyDescent="0.25">
      <c r="A64" s="10"/>
      <c r="B64" s="11"/>
      <c r="C64" s="32" t="s">
        <v>58</v>
      </c>
      <c r="D64" s="33"/>
      <c r="E64" s="40"/>
      <c r="F64" s="41"/>
      <c r="G64" s="42"/>
      <c r="H64" s="37"/>
      <c r="I64" s="37"/>
    </row>
    <row r="65" spans="1:9" x14ac:dyDescent="0.25">
      <c r="A65" s="10"/>
      <c r="B65" s="11"/>
      <c r="C65" s="457"/>
      <c r="D65" s="33" t="s">
        <v>9</v>
      </c>
      <c r="E65" s="40">
        <v>205</v>
      </c>
      <c r="F65" s="41">
        <v>211</v>
      </c>
      <c r="G65" s="42">
        <v>129</v>
      </c>
      <c r="H65" s="43" t="s">
        <v>455</v>
      </c>
      <c r="I65" s="43" t="s">
        <v>436</v>
      </c>
    </row>
    <row r="66" spans="1:9" x14ac:dyDescent="0.25">
      <c r="A66" s="10"/>
      <c r="B66" s="11"/>
      <c r="C66" s="457"/>
      <c r="D66" s="33" t="s">
        <v>13</v>
      </c>
      <c r="E66" s="40">
        <v>3</v>
      </c>
      <c r="F66" s="41">
        <v>6</v>
      </c>
      <c r="G66" s="42">
        <v>4</v>
      </c>
      <c r="H66" s="43" t="s">
        <v>455</v>
      </c>
      <c r="I66" s="43" t="s">
        <v>436</v>
      </c>
    </row>
    <row r="67" spans="1:9" x14ac:dyDescent="0.25">
      <c r="A67" s="10"/>
      <c r="B67" s="11"/>
      <c r="C67" s="11"/>
      <c r="D67" s="33"/>
      <c r="E67" s="40"/>
      <c r="F67" s="41"/>
      <c r="G67" s="42"/>
      <c r="H67" s="37"/>
      <c r="I67" s="37"/>
    </row>
    <row r="68" spans="1:9" x14ac:dyDescent="0.25">
      <c r="A68" s="10"/>
      <c r="B68" s="11"/>
      <c r="C68" s="32" t="s">
        <v>60</v>
      </c>
      <c r="D68" s="33"/>
      <c r="E68" s="40"/>
      <c r="F68" s="41"/>
      <c r="G68" s="42"/>
      <c r="H68" s="37"/>
      <c r="I68" s="37"/>
    </row>
    <row r="69" spans="1:9" x14ac:dyDescent="0.25">
      <c r="A69" s="10"/>
      <c r="B69" s="11"/>
      <c r="C69" s="457"/>
      <c r="D69" s="33" t="s">
        <v>9</v>
      </c>
      <c r="E69" s="40">
        <v>195</v>
      </c>
      <c r="F69" s="41">
        <v>209</v>
      </c>
      <c r="G69" s="42">
        <v>190</v>
      </c>
      <c r="H69" s="43" t="s">
        <v>455</v>
      </c>
      <c r="I69" s="43" t="s">
        <v>436</v>
      </c>
    </row>
    <row r="70" spans="1:9" x14ac:dyDescent="0.25">
      <c r="A70" s="10"/>
      <c r="B70" s="11"/>
      <c r="C70" s="457"/>
      <c r="D70" s="33" t="s">
        <v>13</v>
      </c>
      <c r="E70" s="40">
        <v>82</v>
      </c>
      <c r="F70" s="41">
        <v>75</v>
      </c>
      <c r="G70" s="42">
        <v>59</v>
      </c>
      <c r="H70" s="43" t="s">
        <v>455</v>
      </c>
      <c r="I70" s="43" t="s">
        <v>436</v>
      </c>
    </row>
    <row r="71" spans="1:9" x14ac:dyDescent="0.25">
      <c r="A71" s="10"/>
      <c r="B71" s="11"/>
      <c r="C71" s="11"/>
      <c r="D71" s="33"/>
      <c r="E71" s="40"/>
      <c r="F71" s="41"/>
      <c r="G71" s="42"/>
      <c r="H71" s="37"/>
      <c r="I71" s="37"/>
    </row>
    <row r="72" spans="1:9" x14ac:dyDescent="0.25">
      <c r="A72" s="10"/>
      <c r="B72" s="11"/>
      <c r="C72" s="32" t="s">
        <v>61</v>
      </c>
      <c r="D72" s="33"/>
      <c r="E72" s="40"/>
      <c r="F72" s="41"/>
      <c r="G72" s="42"/>
      <c r="H72" s="37"/>
      <c r="I72" s="37"/>
    </row>
    <row r="73" spans="1:9" x14ac:dyDescent="0.25">
      <c r="A73" s="10"/>
      <c r="B73" s="11"/>
      <c r="C73" s="457"/>
      <c r="D73" s="33" t="s">
        <v>9</v>
      </c>
      <c r="E73" s="40">
        <v>0</v>
      </c>
      <c r="F73" s="41">
        <v>0</v>
      </c>
      <c r="G73" s="42">
        <v>0</v>
      </c>
      <c r="H73" s="37"/>
      <c r="I73" s="37"/>
    </row>
    <row r="74" spans="1:9" x14ac:dyDescent="0.25">
      <c r="A74" s="10"/>
      <c r="B74" s="11"/>
      <c r="C74" s="457"/>
      <c r="D74" s="33" t="s">
        <v>13</v>
      </c>
      <c r="E74" s="40">
        <v>0</v>
      </c>
      <c r="F74" s="41">
        <v>0</v>
      </c>
      <c r="G74" s="42">
        <v>0</v>
      </c>
      <c r="H74" s="37"/>
      <c r="I74" s="37"/>
    </row>
    <row r="75" spans="1:9" x14ac:dyDescent="0.25">
      <c r="A75" s="10"/>
      <c r="B75" s="11"/>
      <c r="C75" s="11"/>
      <c r="D75" s="33"/>
      <c r="E75" s="40"/>
      <c r="F75" s="41"/>
      <c r="G75" s="42"/>
      <c r="H75" s="37"/>
      <c r="I75" s="37"/>
    </row>
    <row r="76" spans="1:9" x14ac:dyDescent="0.25">
      <c r="A76" s="10"/>
      <c r="B76" s="11"/>
      <c r="C76" s="32" t="s">
        <v>62</v>
      </c>
      <c r="D76" s="33"/>
      <c r="E76" s="45">
        <f>+SUM(E77:E78)</f>
        <v>485</v>
      </c>
      <c r="F76" s="46">
        <f>+SUM(F77:F78)</f>
        <v>501</v>
      </c>
      <c r="G76" s="36">
        <f>+SUM(G77:G78)</f>
        <v>382</v>
      </c>
      <c r="H76" s="48" t="s">
        <v>17</v>
      </c>
      <c r="I76" s="48" t="s">
        <v>17</v>
      </c>
    </row>
    <row r="77" spans="1:9" x14ac:dyDescent="0.25">
      <c r="A77" s="10"/>
      <c r="B77" s="11"/>
      <c r="C77" s="458"/>
      <c r="D77" s="459" t="s">
        <v>9</v>
      </c>
      <c r="E77" s="45">
        <f t="shared" ref="E77:G78" si="5">SUM(E65,E69,E73)</f>
        <v>400</v>
      </c>
      <c r="F77" s="46">
        <f t="shared" si="5"/>
        <v>420</v>
      </c>
      <c r="G77" s="36">
        <f t="shared" si="5"/>
        <v>319</v>
      </c>
      <c r="H77" s="48" t="s">
        <v>17</v>
      </c>
      <c r="I77" s="48" t="s">
        <v>17</v>
      </c>
    </row>
    <row r="78" spans="1:9" x14ac:dyDescent="0.25">
      <c r="A78" s="10"/>
      <c r="B78" s="11"/>
      <c r="C78" s="458"/>
      <c r="D78" s="459" t="s">
        <v>13</v>
      </c>
      <c r="E78" s="45">
        <f t="shared" si="5"/>
        <v>85</v>
      </c>
      <c r="F78" s="46">
        <f t="shared" si="5"/>
        <v>81</v>
      </c>
      <c r="G78" s="36">
        <f t="shared" si="5"/>
        <v>63</v>
      </c>
      <c r="H78" s="48" t="s">
        <v>17</v>
      </c>
      <c r="I78" s="48" t="s">
        <v>17</v>
      </c>
    </row>
    <row r="79" spans="1:9" x14ac:dyDescent="0.25">
      <c r="A79" s="10"/>
      <c r="B79" s="11"/>
      <c r="C79" s="11"/>
      <c r="D79" s="33"/>
      <c r="E79" s="100"/>
      <c r="F79" s="101"/>
      <c r="G79" s="102"/>
      <c r="H79" s="37"/>
      <c r="I79" s="37"/>
    </row>
    <row r="80" spans="1:9" x14ac:dyDescent="0.25">
      <c r="A80" s="10"/>
      <c r="B80" s="25" t="s">
        <v>63</v>
      </c>
      <c r="C80" s="26"/>
      <c r="D80" s="27"/>
      <c r="E80" s="28"/>
      <c r="F80" s="29"/>
      <c r="G80" s="30"/>
      <c r="H80" s="31"/>
      <c r="I80" s="31"/>
    </row>
    <row r="81" spans="1:15" x14ac:dyDescent="0.25">
      <c r="A81" s="10"/>
      <c r="B81" s="11"/>
      <c r="C81" s="11"/>
      <c r="D81" s="33"/>
      <c r="E81" s="100"/>
      <c r="F81" s="101"/>
      <c r="G81" s="102"/>
      <c r="H81" s="103"/>
      <c r="I81" s="103"/>
    </row>
    <row r="82" spans="1:15" x14ac:dyDescent="0.25">
      <c r="A82" s="10"/>
      <c r="B82" s="11"/>
      <c r="C82" s="104" t="s">
        <v>64</v>
      </c>
      <c r="D82" s="105"/>
      <c r="E82" s="106"/>
      <c r="F82" s="107"/>
      <c r="G82" s="108"/>
      <c r="H82" s="109"/>
      <c r="I82" s="109"/>
    </row>
    <row r="83" spans="1:15" s="44" customFormat="1" x14ac:dyDescent="0.25">
      <c r="A83" s="39"/>
      <c r="B83" s="32"/>
      <c r="C83" s="32"/>
      <c r="D83" s="110" t="s">
        <v>65</v>
      </c>
      <c r="E83" s="111">
        <v>862</v>
      </c>
      <c r="F83" s="112">
        <v>468</v>
      </c>
      <c r="G83" s="113">
        <v>-40</v>
      </c>
      <c r="H83" s="114" t="s">
        <v>456</v>
      </c>
      <c r="I83" s="114" t="s">
        <v>67</v>
      </c>
    </row>
    <row r="84" spans="1:15" x14ac:dyDescent="0.25">
      <c r="A84" s="10"/>
      <c r="B84" s="115"/>
      <c r="C84" s="115"/>
      <c r="D84" s="116" t="s">
        <v>68</v>
      </c>
      <c r="E84" s="117">
        <v>461</v>
      </c>
      <c r="F84" s="118">
        <v>280</v>
      </c>
      <c r="G84" s="119">
        <v>121</v>
      </c>
      <c r="H84" s="43" t="s">
        <v>457</v>
      </c>
      <c r="I84" s="43" t="s">
        <v>458</v>
      </c>
    </row>
    <row r="85" spans="1:15" x14ac:dyDescent="0.25">
      <c r="A85" s="10"/>
      <c r="B85" s="11"/>
      <c r="C85" s="445"/>
      <c r="D85" s="116" t="s">
        <v>70</v>
      </c>
      <c r="E85" s="117">
        <v>214</v>
      </c>
      <c r="F85" s="118">
        <v>154</v>
      </c>
      <c r="G85" s="119">
        <v>136</v>
      </c>
      <c r="H85" s="43" t="s">
        <v>457</v>
      </c>
      <c r="I85" s="43" t="s">
        <v>458</v>
      </c>
    </row>
    <row r="86" spans="1:15" x14ac:dyDescent="0.25">
      <c r="A86" s="10"/>
      <c r="B86" s="11"/>
      <c r="C86" s="11"/>
      <c r="D86" s="116" t="s">
        <v>71</v>
      </c>
      <c r="E86" s="117">
        <f>+SUM(E87:E92)</f>
        <v>-19</v>
      </c>
      <c r="F86" s="118">
        <f>+SUM(F87:F92)</f>
        <v>-22</v>
      </c>
      <c r="G86" s="119">
        <f>+SUM(G87:G92)</f>
        <v>-330</v>
      </c>
      <c r="H86" s="120"/>
      <c r="I86" s="120"/>
    </row>
    <row r="87" spans="1:15" x14ac:dyDescent="0.25">
      <c r="A87" s="10"/>
      <c r="B87" s="445"/>
      <c r="C87" s="11"/>
      <c r="D87" s="121" t="s">
        <v>72</v>
      </c>
      <c r="E87" s="122">
        <f>-10-23-16</f>
        <v>-49</v>
      </c>
      <c r="F87" s="123">
        <f>-11-0-18</f>
        <v>-29</v>
      </c>
      <c r="G87" s="124">
        <f>-8-21-28</f>
        <v>-57</v>
      </c>
      <c r="H87" s="460" t="s">
        <v>459</v>
      </c>
      <c r="I87" s="460" t="s">
        <v>460</v>
      </c>
    </row>
    <row r="88" spans="1:15" x14ac:dyDescent="0.25">
      <c r="A88" s="10"/>
      <c r="B88" s="11"/>
      <c r="C88" s="11"/>
      <c r="D88" s="121" t="s">
        <v>75</v>
      </c>
      <c r="E88" s="122">
        <f>-22-6+9-E87</f>
        <v>30</v>
      </c>
      <c r="F88" s="123">
        <f>-33-19+30-F87</f>
        <v>7</v>
      </c>
      <c r="G88" s="124">
        <f>-15-239-76-G87</f>
        <v>-273</v>
      </c>
      <c r="H88" s="460" t="s">
        <v>461</v>
      </c>
      <c r="I88" s="460" t="s">
        <v>462</v>
      </c>
    </row>
    <row r="89" spans="1:15" x14ac:dyDescent="0.25">
      <c r="A89" s="10"/>
      <c r="B89" s="11"/>
      <c r="C89" s="11"/>
      <c r="D89" s="126" t="s">
        <v>77</v>
      </c>
      <c r="E89" s="122">
        <v>0</v>
      </c>
      <c r="F89" s="123">
        <v>0</v>
      </c>
      <c r="G89" s="124">
        <v>0</v>
      </c>
      <c r="H89" s="460" t="s">
        <v>463</v>
      </c>
      <c r="I89" s="460" t="s">
        <v>463</v>
      </c>
    </row>
    <row r="90" spans="1:15" x14ac:dyDescent="0.25">
      <c r="A90" s="10"/>
      <c r="B90" s="11"/>
      <c r="C90" s="11"/>
      <c r="D90" s="121" t="s">
        <v>78</v>
      </c>
      <c r="E90" s="122">
        <f>28+15+12</f>
        <v>55</v>
      </c>
      <c r="F90" s="123">
        <f>31+32+5</f>
        <v>68</v>
      </c>
      <c r="G90" s="124">
        <f>80+58+39</f>
        <v>177</v>
      </c>
      <c r="H90" s="460" t="s">
        <v>464</v>
      </c>
      <c r="I90" s="460" t="s">
        <v>465</v>
      </c>
    </row>
    <row r="91" spans="1:15" x14ac:dyDescent="0.25">
      <c r="A91" s="10"/>
      <c r="B91" s="11"/>
      <c r="C91" s="11"/>
      <c r="D91" s="121" t="s">
        <v>81</v>
      </c>
      <c r="E91" s="122">
        <v>0</v>
      </c>
      <c r="F91" s="123">
        <v>0</v>
      </c>
      <c r="G91" s="124">
        <v>0</v>
      </c>
      <c r="H91" s="460" t="s">
        <v>466</v>
      </c>
      <c r="I91" s="460" t="s">
        <v>466</v>
      </c>
    </row>
    <row r="92" spans="1:15" x14ac:dyDescent="0.25">
      <c r="A92" s="10"/>
      <c r="B92" s="11"/>
      <c r="C92" s="11"/>
      <c r="D92" s="121" t="s">
        <v>82</v>
      </c>
      <c r="E92" s="122">
        <f>-E90</f>
        <v>-55</v>
      </c>
      <c r="F92" s="123">
        <f>-F90</f>
        <v>-68</v>
      </c>
      <c r="G92" s="124">
        <f>-G90</f>
        <v>-177</v>
      </c>
      <c r="H92" s="461" t="s">
        <v>21</v>
      </c>
      <c r="I92" s="461" t="s">
        <v>21</v>
      </c>
      <c r="K92" s="44"/>
      <c r="L92" s="44"/>
      <c r="M92" s="44"/>
      <c r="N92" s="44"/>
      <c r="O92" s="44"/>
    </row>
    <row r="93" spans="1:15" x14ac:dyDescent="0.25">
      <c r="A93" s="10"/>
      <c r="B93" s="11"/>
      <c r="C93" s="11"/>
      <c r="D93" s="116" t="s">
        <v>83</v>
      </c>
      <c r="E93" s="117">
        <f>+SUM(E94:E98)</f>
        <v>-72</v>
      </c>
      <c r="F93" s="118">
        <f>+SUM(F94:F98)</f>
        <v>-163</v>
      </c>
      <c r="G93" s="119">
        <f>+SUM(G94:G98)</f>
        <v>68</v>
      </c>
      <c r="H93" s="37"/>
      <c r="I93" s="37"/>
    </row>
    <row r="94" spans="1:15" x14ac:dyDescent="0.25">
      <c r="A94" s="10"/>
      <c r="B94" s="11"/>
      <c r="C94" s="11"/>
      <c r="D94" s="121" t="s">
        <v>84</v>
      </c>
      <c r="E94" s="122">
        <v>5245</v>
      </c>
      <c r="F94" s="123">
        <v>3827</v>
      </c>
      <c r="G94" s="124">
        <v>2338</v>
      </c>
      <c r="H94" s="460" t="s">
        <v>457</v>
      </c>
      <c r="I94" s="460" t="s">
        <v>467</v>
      </c>
      <c r="J94" s="127"/>
      <c r="K94" s="127"/>
      <c r="N94" s="127"/>
      <c r="O94" s="127"/>
    </row>
    <row r="95" spans="1:15" x14ac:dyDescent="0.25">
      <c r="A95" s="10"/>
      <c r="B95" s="11"/>
      <c r="C95" s="11"/>
      <c r="D95" s="121" t="s">
        <v>82</v>
      </c>
      <c r="E95" s="122">
        <f>-E92</f>
        <v>55</v>
      </c>
      <c r="F95" s="123">
        <f>-F92</f>
        <v>68</v>
      </c>
      <c r="G95" s="124">
        <f>-G92</f>
        <v>177</v>
      </c>
      <c r="H95" s="461" t="s">
        <v>21</v>
      </c>
      <c r="I95" s="461" t="s">
        <v>21</v>
      </c>
    </row>
    <row r="96" spans="1:15" x14ac:dyDescent="0.25">
      <c r="A96" s="10"/>
      <c r="B96" s="11"/>
      <c r="C96" s="11"/>
      <c r="D96" s="121" t="s">
        <v>87</v>
      </c>
      <c r="E96" s="122">
        <v>0</v>
      </c>
      <c r="F96" s="123">
        <v>0</v>
      </c>
      <c r="G96" s="124">
        <v>0</v>
      </c>
      <c r="H96" s="460" t="s">
        <v>88</v>
      </c>
      <c r="I96" s="460" t="s">
        <v>88</v>
      </c>
      <c r="J96" s="127"/>
      <c r="K96" s="127"/>
      <c r="N96" s="127"/>
      <c r="O96" s="127"/>
    </row>
    <row r="97" spans="1:15" x14ac:dyDescent="0.25">
      <c r="A97" s="10"/>
      <c r="B97" s="11"/>
      <c r="C97" s="11"/>
      <c r="D97" s="121" t="s">
        <v>89</v>
      </c>
      <c r="E97" s="122">
        <f>-1569-2443-779</f>
        <v>-4791</v>
      </c>
      <c r="F97" s="123">
        <f>-1392-1744-402</f>
        <v>-3538</v>
      </c>
      <c r="G97" s="124">
        <f>-1093-982-0</f>
        <v>-2075</v>
      </c>
      <c r="H97" s="460" t="s">
        <v>468</v>
      </c>
      <c r="I97" s="460" t="s">
        <v>469</v>
      </c>
      <c r="J97" s="127"/>
      <c r="N97" s="127"/>
      <c r="O97" s="127"/>
    </row>
    <row r="98" spans="1:15" x14ac:dyDescent="0.25">
      <c r="A98" s="10"/>
      <c r="B98" s="11"/>
      <c r="C98" s="11"/>
      <c r="D98" s="121" t="s">
        <v>92</v>
      </c>
      <c r="E98" s="122">
        <f>-298-128-155</f>
        <v>-581</v>
      </c>
      <c r="F98" s="123">
        <f>-264-132-124</f>
        <v>-520</v>
      </c>
      <c r="G98" s="124">
        <f>-232-64-76</f>
        <v>-372</v>
      </c>
      <c r="H98" s="460" t="s">
        <v>468</v>
      </c>
      <c r="I98" s="460" t="s">
        <v>470</v>
      </c>
      <c r="N98" s="127"/>
      <c r="O98" s="127"/>
    </row>
    <row r="99" spans="1:15" x14ac:dyDescent="0.25">
      <c r="A99" s="10"/>
      <c r="B99" s="11"/>
      <c r="C99" s="11"/>
      <c r="D99" s="116" t="s">
        <v>94</v>
      </c>
      <c r="E99" s="117">
        <f>+SUM(E100:E104,E108)</f>
        <v>241</v>
      </c>
      <c r="F99" s="118">
        <f>+SUM(F100:F104,F108)</f>
        <v>133</v>
      </c>
      <c r="G99" s="119">
        <f>+SUM(G100:G104,G108)</f>
        <v>124</v>
      </c>
      <c r="H99" s="37"/>
      <c r="I99" s="37" t="s">
        <v>471</v>
      </c>
    </row>
    <row r="100" spans="1:15" x14ac:dyDescent="0.25">
      <c r="A100" s="10"/>
      <c r="B100" s="445"/>
      <c r="C100" s="445"/>
      <c r="D100" s="121" t="s">
        <v>95</v>
      </c>
      <c r="E100" s="122">
        <v>3567</v>
      </c>
      <c r="F100" s="123">
        <v>3693</v>
      </c>
      <c r="G100" s="124">
        <v>2792</v>
      </c>
      <c r="H100" s="460" t="s">
        <v>457</v>
      </c>
      <c r="I100" s="460" t="s">
        <v>458</v>
      </c>
    </row>
    <row r="101" spans="1:15" x14ac:dyDescent="0.25">
      <c r="A101" s="10"/>
      <c r="B101" s="11"/>
      <c r="C101" s="11"/>
      <c r="D101" s="121" t="s">
        <v>96</v>
      </c>
      <c r="E101" s="122">
        <f>-(2655+20)</f>
        <v>-2675</v>
      </c>
      <c r="F101" s="123">
        <f>-(2844+21)</f>
        <v>-2865</v>
      </c>
      <c r="G101" s="124">
        <f>-(2011+18)</f>
        <v>-2029</v>
      </c>
      <c r="H101" s="460" t="s">
        <v>472</v>
      </c>
      <c r="I101" s="460" t="s">
        <v>473</v>
      </c>
    </row>
    <row r="102" spans="1:15" x14ac:dyDescent="0.25">
      <c r="A102" s="10"/>
      <c r="B102" s="11"/>
      <c r="C102" s="11"/>
      <c r="D102" s="121" t="s">
        <v>92</v>
      </c>
      <c r="E102" s="122">
        <v>-738</v>
      </c>
      <c r="F102" s="123">
        <v>-682</v>
      </c>
      <c r="G102" s="124">
        <v>-628</v>
      </c>
      <c r="H102" s="460" t="s">
        <v>472</v>
      </c>
      <c r="I102" s="460" t="s">
        <v>473</v>
      </c>
    </row>
    <row r="103" spans="1:15" x14ac:dyDescent="0.25">
      <c r="A103" s="10"/>
      <c r="B103" s="11"/>
      <c r="C103" s="11"/>
      <c r="D103" s="121" t="s">
        <v>99</v>
      </c>
      <c r="E103" s="122">
        <f>-(-65-22)</f>
        <v>87</v>
      </c>
      <c r="F103" s="123">
        <f>-(29-10)</f>
        <v>-19</v>
      </c>
      <c r="G103" s="124">
        <f>-(34-30)</f>
        <v>-4</v>
      </c>
      <c r="H103" s="460" t="s">
        <v>472</v>
      </c>
      <c r="I103" s="460" t="s">
        <v>473</v>
      </c>
      <c r="N103" s="462"/>
    </row>
    <row r="104" spans="1:15" x14ac:dyDescent="0.25">
      <c r="A104" s="10"/>
      <c r="B104" s="11"/>
      <c r="C104" s="11"/>
      <c r="D104" s="121" t="s">
        <v>102</v>
      </c>
      <c r="E104" s="122">
        <f>+SUM(E105:E107)</f>
        <v>0</v>
      </c>
      <c r="F104" s="123">
        <f>+SUM(F105:F107)</f>
        <v>6</v>
      </c>
      <c r="G104" s="124">
        <f>+SUM(G105:G107)</f>
        <v>-7</v>
      </c>
      <c r="H104" s="460"/>
      <c r="I104" s="460" t="s">
        <v>473</v>
      </c>
      <c r="N104" s="462"/>
    </row>
    <row r="105" spans="1:15" x14ac:dyDescent="0.25">
      <c r="A105" s="10"/>
      <c r="B105" s="11"/>
      <c r="C105" s="11"/>
      <c r="D105" s="132" t="s">
        <v>72</v>
      </c>
      <c r="E105" s="133">
        <f>+SUM(E106:E108)</f>
        <v>0</v>
      </c>
      <c r="F105" s="134">
        <v>0</v>
      </c>
      <c r="G105" s="135">
        <v>0</v>
      </c>
      <c r="H105" s="463" t="s">
        <v>474</v>
      </c>
      <c r="I105" s="120"/>
      <c r="N105" s="462"/>
    </row>
    <row r="106" spans="1:15" x14ac:dyDescent="0.25">
      <c r="A106" s="10"/>
      <c r="B106" s="11"/>
      <c r="C106" s="11"/>
      <c r="D106" s="464" t="s">
        <v>103</v>
      </c>
      <c r="E106" s="465">
        <f>+SUM(E107:E109)</f>
        <v>0</v>
      </c>
      <c r="F106" s="466">
        <v>-12</v>
      </c>
      <c r="G106" s="467">
        <v>-9</v>
      </c>
      <c r="H106" s="463" t="s">
        <v>474</v>
      </c>
      <c r="I106" s="460" t="s">
        <v>473</v>
      </c>
      <c r="N106" s="462"/>
    </row>
    <row r="107" spans="1:15" x14ac:dyDescent="0.25">
      <c r="A107" s="10"/>
      <c r="B107" s="11"/>
      <c r="C107" s="11"/>
      <c r="D107" s="132" t="s">
        <v>106</v>
      </c>
      <c r="E107" s="133">
        <f>+SUM(E108:E110)</f>
        <v>0</v>
      </c>
      <c r="F107" s="134">
        <v>18</v>
      </c>
      <c r="G107" s="135">
        <v>2</v>
      </c>
      <c r="H107" s="463" t="s">
        <v>474</v>
      </c>
      <c r="I107" s="460" t="s">
        <v>473</v>
      </c>
    </row>
    <row r="108" spans="1:15" x14ac:dyDescent="0.25">
      <c r="A108" s="10"/>
      <c r="B108" s="11"/>
      <c r="C108" s="11"/>
      <c r="D108" s="121" t="s">
        <v>30</v>
      </c>
      <c r="E108" s="122">
        <f>+SUM(E109:E110)</f>
        <v>0</v>
      </c>
      <c r="F108" s="123">
        <f>+SUM(F109:F110)</f>
        <v>0</v>
      </c>
      <c r="G108" s="124">
        <f>+SUM(G109:G110)</f>
        <v>0</v>
      </c>
      <c r="H108" s="120"/>
      <c r="I108" s="120"/>
    </row>
    <row r="109" spans="1:15" x14ac:dyDescent="0.25">
      <c r="A109" s="10"/>
      <c r="B109" s="11"/>
      <c r="C109" s="11"/>
      <c r="D109" s="132" t="s">
        <v>107</v>
      </c>
      <c r="E109" s="133">
        <v>0</v>
      </c>
      <c r="F109" s="134">
        <v>0</v>
      </c>
      <c r="G109" s="135">
        <v>0</v>
      </c>
      <c r="H109" s="137"/>
      <c r="I109" s="137" t="s">
        <v>473</v>
      </c>
    </row>
    <row r="110" spans="1:15" x14ac:dyDescent="0.25">
      <c r="A110" s="10"/>
      <c r="B110" s="11"/>
      <c r="C110" s="11"/>
      <c r="D110" s="132" t="s">
        <v>108</v>
      </c>
      <c r="E110" s="133">
        <v>0</v>
      </c>
      <c r="F110" s="134">
        <v>0</v>
      </c>
      <c r="G110" s="135">
        <v>0</v>
      </c>
      <c r="H110" s="137"/>
      <c r="I110" s="137" t="s">
        <v>473</v>
      </c>
    </row>
    <row r="111" spans="1:15" x14ac:dyDescent="0.25">
      <c r="A111" s="10"/>
      <c r="B111" s="11"/>
      <c r="C111" s="11"/>
      <c r="D111" s="116" t="s">
        <v>111</v>
      </c>
      <c r="E111" s="117">
        <f>+SUM(E112:E116)</f>
        <v>37</v>
      </c>
      <c r="F111" s="118">
        <f>+SUM(F112:F116)</f>
        <v>86</v>
      </c>
      <c r="G111" s="119">
        <f>+SUM(G112:G116)</f>
        <v>-159</v>
      </c>
      <c r="H111" s="120"/>
      <c r="I111" s="120"/>
    </row>
    <row r="112" spans="1:15" x14ac:dyDescent="0.25">
      <c r="A112" s="10"/>
      <c r="B112" s="11"/>
      <c r="C112" s="11"/>
      <c r="D112" s="121" t="s">
        <v>112</v>
      </c>
      <c r="E112" s="122">
        <v>84</v>
      </c>
      <c r="F112" s="123">
        <v>111</v>
      </c>
      <c r="G112" s="124">
        <v>146</v>
      </c>
      <c r="H112" s="460" t="s">
        <v>457</v>
      </c>
      <c r="I112" s="460" t="s">
        <v>458</v>
      </c>
    </row>
    <row r="113" spans="1:9" x14ac:dyDescent="0.25">
      <c r="A113" s="10"/>
      <c r="B113" s="11"/>
      <c r="C113" s="11"/>
      <c r="D113" s="121" t="s">
        <v>99</v>
      </c>
      <c r="E113" s="122">
        <v>-48</v>
      </c>
      <c r="F113" s="123">
        <v>-10</v>
      </c>
      <c r="G113" s="124">
        <v>-269</v>
      </c>
      <c r="H113" s="460" t="s">
        <v>475</v>
      </c>
      <c r="I113" s="460" t="s">
        <v>470</v>
      </c>
    </row>
    <row r="114" spans="1:9" x14ac:dyDescent="0.25">
      <c r="A114" s="10"/>
      <c r="B114" s="11"/>
      <c r="C114" s="11"/>
      <c r="D114" s="121" t="s">
        <v>115</v>
      </c>
      <c r="E114" s="122">
        <v>31</v>
      </c>
      <c r="F114" s="123">
        <v>30</v>
      </c>
      <c r="G114" s="124">
        <v>15</v>
      </c>
      <c r="H114" s="460" t="s">
        <v>457</v>
      </c>
      <c r="I114" s="460" t="s">
        <v>458</v>
      </c>
    </row>
    <row r="115" spans="1:9" x14ac:dyDescent="0.25">
      <c r="A115" s="10"/>
      <c r="B115" s="11"/>
      <c r="C115" s="11"/>
      <c r="D115" s="121" t="s">
        <v>108</v>
      </c>
      <c r="E115" s="122">
        <f>-24-2-4</f>
        <v>-30</v>
      </c>
      <c r="F115" s="123">
        <f>-24-2-4</f>
        <v>-30</v>
      </c>
      <c r="G115" s="124">
        <f>-9-2-4</f>
        <v>-15</v>
      </c>
      <c r="H115" s="460" t="s">
        <v>476</v>
      </c>
      <c r="I115" s="460" t="s">
        <v>470</v>
      </c>
    </row>
    <row r="116" spans="1:9" x14ac:dyDescent="0.25">
      <c r="A116" s="10"/>
      <c r="B116" s="11"/>
      <c r="C116" s="11"/>
      <c r="D116" s="139" t="s">
        <v>117</v>
      </c>
      <c r="E116" s="468">
        <v>0</v>
      </c>
      <c r="F116" s="469">
        <v>-15</v>
      </c>
      <c r="G116" s="470">
        <f>-36</f>
        <v>-36</v>
      </c>
      <c r="H116" s="460"/>
      <c r="I116" s="471" t="s">
        <v>477</v>
      </c>
    </row>
    <row r="117" spans="1:9" x14ac:dyDescent="0.25">
      <c r="A117" s="10"/>
      <c r="B117" s="11"/>
      <c r="C117" s="11"/>
      <c r="D117" s="143"/>
      <c r="E117" s="40"/>
      <c r="F117" s="41"/>
      <c r="G117" s="42"/>
      <c r="H117" s="120"/>
      <c r="I117" s="120"/>
    </row>
    <row r="118" spans="1:9" x14ac:dyDescent="0.25">
      <c r="A118" s="10"/>
      <c r="B118" s="445"/>
      <c r="C118" s="445"/>
      <c r="D118" s="142" t="s">
        <v>118</v>
      </c>
      <c r="E118" s="84" t="b">
        <f>SUM(E84:E86,E93,E99,E111)=E83</f>
        <v>1</v>
      </c>
      <c r="F118" s="85" t="b">
        <f>SUM(F84:F86,F93,F99,F111)=F83</f>
        <v>1</v>
      </c>
      <c r="G118" s="86" t="b">
        <f>SUM(G84:G86,G93,G99,G111)=G83</f>
        <v>1</v>
      </c>
      <c r="H118" s="463"/>
      <c r="I118" s="120"/>
    </row>
    <row r="119" spans="1:9" x14ac:dyDescent="0.25">
      <c r="A119" s="10"/>
      <c r="B119" s="445"/>
      <c r="C119" s="11"/>
      <c r="D119" s="142" t="s">
        <v>95</v>
      </c>
      <c r="E119" s="84" t="b">
        <f>SUM(E84,E85,E94,E100,E112,E114,E96)=9601</f>
        <v>0</v>
      </c>
      <c r="F119" s="85" t="b">
        <f>SUM(F84,F85,F94,F100,F112,F114,F96)=8095</f>
        <v>1</v>
      </c>
      <c r="G119" s="86" t="b">
        <f>SUM(G84,G85,G94,G100,G112,G114,G96)=5547</f>
        <v>0</v>
      </c>
      <c r="H119" s="463" t="s">
        <v>478</v>
      </c>
      <c r="I119" s="463" t="s">
        <v>33</v>
      </c>
    </row>
    <row r="120" spans="1:9" x14ac:dyDescent="0.25">
      <c r="A120" s="10"/>
      <c r="B120" s="445"/>
      <c r="C120" s="445"/>
      <c r="D120" s="142" t="s">
        <v>479</v>
      </c>
      <c r="E120" s="84" t="b">
        <f>SUM(E97,E95,E86,E113,E101,E104,E103)=-7389</f>
        <v>0</v>
      </c>
      <c r="F120" s="85" t="b">
        <f>SUM(F97,F95,F86,F113,F101,F104,F103)=-6400</f>
        <v>0</v>
      </c>
      <c r="G120" s="86" t="b">
        <f>SUM(G97,G95,G86,G113,G101,G104,G103)=-4537</f>
        <v>1</v>
      </c>
      <c r="H120" s="463" t="s">
        <v>480</v>
      </c>
      <c r="I120" s="463" t="s">
        <v>481</v>
      </c>
    </row>
    <row r="121" spans="1:9" x14ac:dyDescent="0.25">
      <c r="A121" s="10"/>
      <c r="B121" s="445"/>
      <c r="C121" s="445"/>
      <c r="D121" s="142" t="s">
        <v>482</v>
      </c>
      <c r="E121" s="84" t="b">
        <f>SUM(E98,E102,E108,E115)=-1350</f>
        <v>0</v>
      </c>
      <c r="F121" s="85" t="b">
        <f>SUM(F98,F102,F108,F115)=-1227</f>
        <v>0</v>
      </c>
      <c r="G121" s="86" t="b">
        <f>SUM(G98,G102,G108,G115)=-1050</f>
        <v>0</v>
      </c>
      <c r="H121" s="463" t="s">
        <v>478</v>
      </c>
      <c r="I121" s="463" t="s">
        <v>483</v>
      </c>
    </row>
    <row r="122" spans="1:9" x14ac:dyDescent="0.25">
      <c r="A122" s="10"/>
      <c r="B122" s="11"/>
      <c r="C122" s="11"/>
      <c r="D122" s="143"/>
      <c r="E122" s="40"/>
      <c r="F122" s="41"/>
      <c r="G122" s="42"/>
      <c r="H122" s="120"/>
      <c r="I122" s="120"/>
    </row>
    <row r="123" spans="1:9" s="44" customFormat="1" x14ac:dyDescent="0.25">
      <c r="A123" s="39"/>
      <c r="B123" s="32"/>
      <c r="C123" s="32"/>
      <c r="D123" s="110" t="s">
        <v>120</v>
      </c>
      <c r="E123" s="111">
        <v>-90</v>
      </c>
      <c r="F123" s="112">
        <v>-27</v>
      </c>
      <c r="G123" s="113">
        <v>-23</v>
      </c>
      <c r="H123" s="114" t="s">
        <v>484</v>
      </c>
      <c r="I123" s="114" t="s">
        <v>67</v>
      </c>
    </row>
    <row r="124" spans="1:9" x14ac:dyDescent="0.25">
      <c r="A124" s="10"/>
      <c r="B124" s="11"/>
      <c r="C124" s="11"/>
      <c r="D124" s="33"/>
      <c r="E124" s="40"/>
      <c r="F124" s="41"/>
      <c r="G124" s="42"/>
      <c r="H124" s="147"/>
      <c r="I124" s="147"/>
    </row>
    <row r="125" spans="1:9" s="44" customFormat="1" x14ac:dyDescent="0.25">
      <c r="A125" s="39"/>
      <c r="B125" s="32"/>
      <c r="C125" s="32"/>
      <c r="D125" s="110" t="s">
        <v>122</v>
      </c>
      <c r="E125" s="111">
        <f>843+205</f>
        <v>1048</v>
      </c>
      <c r="F125" s="112">
        <f>1054+146</f>
        <v>1200</v>
      </c>
      <c r="G125" s="113">
        <f>-2259+70</f>
        <v>-2189</v>
      </c>
      <c r="H125" s="114" t="s">
        <v>484</v>
      </c>
      <c r="I125" s="114" t="s">
        <v>67</v>
      </c>
    </row>
    <row r="126" spans="1:9" s="44" customFormat="1" x14ac:dyDescent="0.25">
      <c r="A126" s="39"/>
      <c r="B126" s="32"/>
      <c r="C126" s="32"/>
      <c r="D126" s="116" t="s">
        <v>124</v>
      </c>
      <c r="E126" s="148"/>
      <c r="F126" s="149"/>
      <c r="G126" s="150"/>
      <c r="H126" s="120"/>
      <c r="I126" s="120"/>
    </row>
    <row r="127" spans="1:9" s="44" customFormat="1" x14ac:dyDescent="0.25">
      <c r="A127" s="39"/>
      <c r="B127" s="32"/>
      <c r="C127" s="32"/>
      <c r="D127" s="151" t="s">
        <v>125</v>
      </c>
      <c r="E127" s="148"/>
      <c r="F127" s="149"/>
      <c r="G127" s="150"/>
      <c r="H127" s="120"/>
      <c r="I127" s="120"/>
    </row>
    <row r="128" spans="1:9" s="44" customFormat="1" x14ac:dyDescent="0.25">
      <c r="A128" s="39"/>
      <c r="B128" s="32"/>
      <c r="C128" s="32"/>
      <c r="D128" s="152" t="s">
        <v>126</v>
      </c>
      <c r="E128" s="163">
        <v>11</v>
      </c>
      <c r="F128" s="164">
        <v>10</v>
      </c>
      <c r="G128" s="165">
        <v>10</v>
      </c>
      <c r="H128" s="137" t="s">
        <v>485</v>
      </c>
      <c r="I128" s="137" t="s">
        <v>486</v>
      </c>
    </row>
    <row r="129" spans="1:9" s="44" customFormat="1" x14ac:dyDescent="0.25">
      <c r="A129" s="39"/>
      <c r="B129" s="32"/>
      <c r="C129" s="32"/>
      <c r="D129" s="152" t="s">
        <v>127</v>
      </c>
      <c r="E129" s="163">
        <v>3218</v>
      </c>
      <c r="F129" s="164">
        <v>2325</v>
      </c>
      <c r="G129" s="165">
        <v>-1953</v>
      </c>
      <c r="H129" s="137" t="s">
        <v>485</v>
      </c>
      <c r="I129" s="137" t="s">
        <v>487</v>
      </c>
    </row>
    <row r="130" spans="1:9" s="44" customFormat="1" x14ac:dyDescent="0.25">
      <c r="A130" s="39"/>
      <c r="B130" s="32"/>
      <c r="C130" s="32"/>
      <c r="D130" s="152" t="s">
        <v>128</v>
      </c>
      <c r="E130" s="163">
        <v>0</v>
      </c>
      <c r="F130" s="164">
        <v>0</v>
      </c>
      <c r="G130" s="165">
        <v>0</v>
      </c>
      <c r="H130" s="120"/>
      <c r="I130" s="120"/>
    </row>
    <row r="131" spans="1:9" s="44" customFormat="1" x14ac:dyDescent="0.25">
      <c r="A131" s="39"/>
      <c r="B131" s="32"/>
      <c r="C131" s="32"/>
      <c r="D131" s="152" t="s">
        <v>129</v>
      </c>
      <c r="E131" s="163">
        <v>0</v>
      </c>
      <c r="F131" s="164">
        <v>0</v>
      </c>
      <c r="G131" s="165">
        <v>0</v>
      </c>
      <c r="H131" s="120"/>
      <c r="I131" s="120"/>
    </row>
    <row r="132" spans="1:9" s="44" customFormat="1" x14ac:dyDescent="0.25">
      <c r="A132" s="39"/>
      <c r="B132" s="32"/>
      <c r="C132" s="32"/>
      <c r="D132" s="159"/>
      <c r="E132" s="160">
        <f>SUM(E128:E131)</f>
        <v>3229</v>
      </c>
      <c r="F132" s="161">
        <f>SUM(F128:F131)</f>
        <v>2335</v>
      </c>
      <c r="G132" s="162">
        <f>SUM(G128:G131)</f>
        <v>-1943</v>
      </c>
      <c r="H132" s="120"/>
      <c r="I132" s="120"/>
    </row>
    <row r="133" spans="1:9" s="44" customFormat="1" x14ac:dyDescent="0.25">
      <c r="A133" s="39"/>
      <c r="B133" s="32"/>
      <c r="C133" s="32"/>
      <c r="D133" s="151" t="s">
        <v>130</v>
      </c>
      <c r="E133" s="163"/>
      <c r="F133" s="164"/>
      <c r="G133" s="165"/>
      <c r="H133" s="120"/>
      <c r="I133" s="120"/>
    </row>
    <row r="134" spans="1:9" s="44" customFormat="1" x14ac:dyDescent="0.25">
      <c r="A134" s="39"/>
      <c r="B134" s="32"/>
      <c r="C134" s="32"/>
      <c r="D134" s="152" t="s">
        <v>126</v>
      </c>
      <c r="E134" s="163">
        <f>5793-3449</f>
        <v>2344</v>
      </c>
      <c r="F134" s="164">
        <f>3710 - 2168</f>
        <v>1542</v>
      </c>
      <c r="G134" s="165">
        <f>1439-659</f>
        <v>780</v>
      </c>
      <c r="H134" s="137" t="s">
        <v>488</v>
      </c>
      <c r="I134" s="137" t="s">
        <v>489</v>
      </c>
    </row>
    <row r="135" spans="1:9" s="44" customFormat="1" x14ac:dyDescent="0.25">
      <c r="A135" s="39"/>
      <c r="B135" s="32"/>
      <c r="C135" s="32"/>
      <c r="D135" s="152" t="s">
        <v>127</v>
      </c>
      <c r="E135" s="163">
        <f>4459+2-E129+253</f>
        <v>1496</v>
      </c>
      <c r="F135" s="164">
        <f>4747-1-F129-956</f>
        <v>1465</v>
      </c>
      <c r="G135" s="165">
        <f>-15284-G129+5739</f>
        <v>-7592</v>
      </c>
      <c r="H135" s="137" t="s">
        <v>490</v>
      </c>
      <c r="I135" s="137" t="s">
        <v>487</v>
      </c>
    </row>
    <row r="136" spans="1:9" s="44" customFormat="1" x14ac:dyDescent="0.25">
      <c r="A136" s="39"/>
      <c r="B136" s="32"/>
      <c r="C136" s="32"/>
      <c r="D136" s="152" t="s">
        <v>128</v>
      </c>
      <c r="E136" s="163">
        <v>385</v>
      </c>
      <c r="F136" s="164">
        <v>283</v>
      </c>
      <c r="G136" s="165">
        <v>187</v>
      </c>
      <c r="H136" s="137" t="s">
        <v>488</v>
      </c>
      <c r="I136" s="137" t="s">
        <v>489</v>
      </c>
    </row>
    <row r="137" spans="1:9" s="44" customFormat="1" x14ac:dyDescent="0.25">
      <c r="A137" s="39"/>
      <c r="B137" s="32"/>
      <c r="C137" s="32"/>
      <c r="D137" s="152" t="s">
        <v>135</v>
      </c>
      <c r="E137" s="163">
        <v>1</v>
      </c>
      <c r="F137" s="164">
        <v>-22</v>
      </c>
      <c r="G137" s="165">
        <v>0</v>
      </c>
      <c r="H137" s="137" t="s">
        <v>491</v>
      </c>
      <c r="I137" s="137" t="s">
        <v>492</v>
      </c>
    </row>
    <row r="138" spans="1:9" s="44" customFormat="1" x14ac:dyDescent="0.25">
      <c r="A138" s="39"/>
      <c r="B138" s="32"/>
      <c r="C138" s="32"/>
      <c r="D138" s="152" t="s">
        <v>138</v>
      </c>
      <c r="E138" s="163">
        <f>3449-3395-253</f>
        <v>-199</v>
      </c>
      <c r="F138" s="164">
        <f>2168-2030+956</f>
        <v>1094</v>
      </c>
      <c r="G138" s="165">
        <f>659-313-5739</f>
        <v>-5393</v>
      </c>
      <c r="H138" s="137" t="s">
        <v>493</v>
      </c>
      <c r="I138" s="137" t="s">
        <v>494</v>
      </c>
    </row>
    <row r="139" spans="1:9" s="44" customFormat="1" x14ac:dyDescent="0.25">
      <c r="A139" s="39"/>
      <c r="B139" s="32"/>
      <c r="C139" s="32"/>
      <c r="D139" s="152" t="s">
        <v>141</v>
      </c>
      <c r="E139" s="163">
        <v>-2</v>
      </c>
      <c r="F139" s="164">
        <v>0</v>
      </c>
      <c r="G139" s="165">
        <v>0</v>
      </c>
      <c r="H139" s="137" t="s">
        <v>490</v>
      </c>
      <c r="I139" s="137" t="s">
        <v>487</v>
      </c>
    </row>
    <row r="140" spans="1:9" s="44" customFormat="1" x14ac:dyDescent="0.25">
      <c r="A140" s="39"/>
      <c r="B140" s="32"/>
      <c r="C140" s="32"/>
      <c r="D140" s="152" t="s">
        <v>142</v>
      </c>
      <c r="E140" s="163">
        <v>144</v>
      </c>
      <c r="F140" s="164">
        <v>91</v>
      </c>
      <c r="G140" s="165">
        <v>58</v>
      </c>
      <c r="H140" s="137" t="s">
        <v>488</v>
      </c>
      <c r="I140" s="137" t="s">
        <v>489</v>
      </c>
    </row>
    <row r="141" spans="1:9" s="44" customFormat="1" x14ac:dyDescent="0.25">
      <c r="A141" s="39"/>
      <c r="B141" s="32"/>
      <c r="C141" s="32"/>
      <c r="D141" s="152" t="s">
        <v>144</v>
      </c>
      <c r="E141" s="163">
        <v>18</v>
      </c>
      <c r="F141" s="164">
        <v>44</v>
      </c>
      <c r="G141" s="165">
        <v>14</v>
      </c>
      <c r="H141" s="137" t="s">
        <v>488</v>
      </c>
      <c r="I141" s="137" t="s">
        <v>489</v>
      </c>
    </row>
    <row r="142" spans="1:9" s="44" customFormat="1" x14ac:dyDescent="0.25">
      <c r="A142" s="39"/>
      <c r="B142" s="32"/>
      <c r="C142" s="32"/>
      <c r="D142" s="152"/>
      <c r="E142" s="160">
        <f>SUM(E134:E141)</f>
        <v>4187</v>
      </c>
      <c r="F142" s="161">
        <f>SUM(F134:F141)</f>
        <v>4497</v>
      </c>
      <c r="G142" s="162">
        <f>SUM(G134:G141)</f>
        <v>-11946</v>
      </c>
      <c r="H142" s="120"/>
      <c r="I142" s="120"/>
    </row>
    <row r="143" spans="1:9" s="44" customFormat="1" x14ac:dyDescent="0.25">
      <c r="A143" s="39"/>
      <c r="B143" s="32"/>
      <c r="C143" s="32"/>
      <c r="D143" s="159"/>
      <c r="E143" s="148"/>
      <c r="F143" s="149"/>
      <c r="G143" s="150"/>
      <c r="H143" s="120"/>
      <c r="I143" s="120"/>
    </row>
    <row r="144" spans="1:9" s="44" customFormat="1" x14ac:dyDescent="0.25">
      <c r="A144" s="39"/>
      <c r="B144" s="32"/>
      <c r="C144" s="32"/>
      <c r="D144" s="116" t="s">
        <v>146</v>
      </c>
      <c r="E144" s="148"/>
      <c r="F144" s="149"/>
      <c r="G144" s="150"/>
      <c r="H144" s="120"/>
      <c r="I144" s="120"/>
    </row>
    <row r="145" spans="1:9" x14ac:dyDescent="0.25">
      <c r="A145" s="10"/>
      <c r="B145" s="11"/>
      <c r="C145" s="11"/>
      <c r="D145" s="151" t="s">
        <v>147</v>
      </c>
      <c r="E145" s="163">
        <v>-3232</v>
      </c>
      <c r="F145" s="164">
        <v>-2288</v>
      </c>
      <c r="G145" s="165">
        <v>1966</v>
      </c>
      <c r="H145" s="137" t="s">
        <v>495</v>
      </c>
      <c r="I145" s="137" t="s">
        <v>496</v>
      </c>
    </row>
    <row r="146" spans="1:9" x14ac:dyDescent="0.25">
      <c r="A146" s="10"/>
      <c r="B146" s="11"/>
      <c r="C146" s="11"/>
      <c r="D146" s="151" t="s">
        <v>150</v>
      </c>
      <c r="E146" s="163">
        <f>-5757+26-E145</f>
        <v>-2499</v>
      </c>
      <c r="F146" s="164">
        <f>-5205-6-F145</f>
        <v>-2923</v>
      </c>
      <c r="G146" s="165">
        <f>11903-67-G145</f>
        <v>9870</v>
      </c>
      <c r="H146" s="137" t="s">
        <v>495</v>
      </c>
      <c r="I146" s="137" t="s">
        <v>496</v>
      </c>
    </row>
    <row r="147" spans="1:9" x14ac:dyDescent="0.25">
      <c r="A147" s="10"/>
      <c r="B147" s="11"/>
      <c r="C147" s="11"/>
      <c r="D147" s="151" t="s">
        <v>151</v>
      </c>
      <c r="E147" s="163">
        <f>-4031+3395</f>
        <v>-636</v>
      </c>
      <c r="F147" s="164">
        <f>-2451+2030</f>
        <v>-421</v>
      </c>
      <c r="G147" s="165">
        <f>-449+313</f>
        <v>-136</v>
      </c>
      <c r="H147" s="137" t="s">
        <v>497</v>
      </c>
      <c r="I147" s="137" t="s">
        <v>498</v>
      </c>
    </row>
    <row r="148" spans="1:9" x14ac:dyDescent="0.25">
      <c r="A148" s="10"/>
      <c r="B148" s="11"/>
      <c r="C148" s="11"/>
      <c r="D148" s="151"/>
      <c r="E148" s="160">
        <f>SUM(E145:E147)</f>
        <v>-6367</v>
      </c>
      <c r="F148" s="161">
        <f>SUM(F145:F147)</f>
        <v>-5632</v>
      </c>
      <c r="G148" s="162">
        <f>SUM(G145:G147)</f>
        <v>11700</v>
      </c>
      <c r="H148" s="120"/>
      <c r="I148" s="120"/>
    </row>
    <row r="149" spans="1:9" x14ac:dyDescent="0.25">
      <c r="A149" s="10"/>
      <c r="B149" s="11"/>
      <c r="C149" s="11"/>
      <c r="D149" s="159"/>
      <c r="E149" s="163"/>
      <c r="F149" s="164"/>
      <c r="G149" s="165"/>
      <c r="H149" s="120"/>
      <c r="I149" s="120"/>
    </row>
    <row r="150" spans="1:9" x14ac:dyDescent="0.25">
      <c r="A150" s="10"/>
      <c r="B150" s="11"/>
      <c r="C150" s="11"/>
      <c r="D150" s="116" t="s">
        <v>154</v>
      </c>
      <c r="E150" s="163">
        <v>0</v>
      </c>
      <c r="F150" s="164">
        <v>0</v>
      </c>
      <c r="G150" s="165">
        <v>0</v>
      </c>
      <c r="H150" s="120"/>
      <c r="I150" s="120"/>
    </row>
    <row r="151" spans="1:9" x14ac:dyDescent="0.25">
      <c r="A151" s="10"/>
      <c r="B151" s="11"/>
      <c r="C151" s="11"/>
      <c r="D151" s="159"/>
      <c r="E151" s="163"/>
      <c r="F151" s="164"/>
      <c r="G151" s="165"/>
      <c r="H151" s="120"/>
      <c r="I151" s="120"/>
    </row>
    <row r="152" spans="1:9" ht="15.75" thickBot="1" x14ac:dyDescent="0.3">
      <c r="A152" s="10"/>
      <c r="B152" s="11"/>
      <c r="C152" s="11"/>
      <c r="D152" s="159"/>
      <c r="E152" s="168">
        <f>SUM(E132,E142,E148,E150)</f>
        <v>1049</v>
      </c>
      <c r="F152" s="169">
        <f>SUM(F132,F142,F148,F150)</f>
        <v>1200</v>
      </c>
      <c r="G152" s="170">
        <f>SUM(G132,G142,G148,G150)</f>
        <v>-2189</v>
      </c>
      <c r="H152" s="472" t="s">
        <v>499</v>
      </c>
      <c r="I152" s="472" t="s">
        <v>500</v>
      </c>
    </row>
    <row r="153" spans="1:9" ht="15.75" thickTop="1" x14ac:dyDescent="0.25">
      <c r="A153" s="10"/>
      <c r="B153" s="11"/>
      <c r="C153" s="11"/>
      <c r="D153" s="167"/>
      <c r="E153" s="71" t="b">
        <f>E152=E125</f>
        <v>0</v>
      </c>
      <c r="F153" s="72" t="b">
        <f>F152=F125</f>
        <v>1</v>
      </c>
      <c r="G153" s="73" t="b">
        <f>G152=G125</f>
        <v>1</v>
      </c>
      <c r="H153" s="463"/>
      <c r="I153" s="463"/>
    </row>
    <row r="154" spans="1:9" x14ac:dyDescent="0.25">
      <c r="A154" s="10"/>
      <c r="B154" s="11"/>
      <c r="C154" s="11"/>
      <c r="D154" s="159"/>
      <c r="E154" s="171"/>
      <c r="F154" s="172"/>
      <c r="G154" s="173"/>
      <c r="H154" s="472"/>
      <c r="I154" s="472"/>
    </row>
    <row r="155" spans="1:9" x14ac:dyDescent="0.25">
      <c r="A155" s="10"/>
      <c r="B155" s="11"/>
      <c r="C155" s="11"/>
      <c r="D155" s="116" t="s">
        <v>155</v>
      </c>
      <c r="E155" s="84"/>
      <c r="F155" s="85"/>
      <c r="G155" s="86"/>
      <c r="H155" s="120"/>
      <c r="I155" s="120"/>
    </row>
    <row r="156" spans="1:9" x14ac:dyDescent="0.25">
      <c r="A156" s="10"/>
      <c r="B156" s="11"/>
      <c r="C156" s="11"/>
      <c r="D156" s="174" t="s">
        <v>156</v>
      </c>
      <c r="E156" s="350"/>
      <c r="F156" s="351"/>
      <c r="G156" s="352"/>
      <c r="H156" s="120"/>
      <c r="I156" s="120"/>
    </row>
    <row r="157" spans="1:9" x14ac:dyDescent="0.25">
      <c r="A157" s="10"/>
      <c r="B157" s="11"/>
      <c r="C157" s="11"/>
      <c r="D157" s="175" t="s">
        <v>157</v>
      </c>
      <c r="E157" s="473">
        <v>2.64E-2</v>
      </c>
      <c r="F157" s="474">
        <v>3.7999999999999999E-2</v>
      </c>
      <c r="G157" s="182">
        <v>3.32E-2</v>
      </c>
      <c r="H157" s="43" t="s">
        <v>501</v>
      </c>
      <c r="I157" s="43" t="s">
        <v>502</v>
      </c>
    </row>
    <row r="158" spans="1:9" x14ac:dyDescent="0.25">
      <c r="A158" s="10"/>
      <c r="B158" s="11"/>
      <c r="C158" s="11"/>
      <c r="D158" s="175" t="s">
        <v>160</v>
      </c>
      <c r="E158" s="473">
        <v>2.5399999999999999E-2</v>
      </c>
      <c r="F158" s="474">
        <v>2.76E-2</v>
      </c>
      <c r="G158" s="182">
        <v>3.27E-2</v>
      </c>
      <c r="H158" s="43" t="s">
        <v>501</v>
      </c>
      <c r="I158" s="43" t="s">
        <v>502</v>
      </c>
    </row>
    <row r="159" spans="1:9" x14ac:dyDescent="0.25">
      <c r="A159" s="10"/>
      <c r="B159" s="11"/>
      <c r="C159" s="11"/>
      <c r="D159" s="175" t="s">
        <v>161</v>
      </c>
      <c r="E159" s="473">
        <v>2.6700000000000002E-2</v>
      </c>
      <c r="F159" s="474">
        <v>2.8299999999999999E-2</v>
      </c>
      <c r="G159" s="182">
        <v>3.2300000000000002E-2</v>
      </c>
      <c r="H159" s="43" t="s">
        <v>501</v>
      </c>
      <c r="I159" s="43" t="s">
        <v>502</v>
      </c>
    </row>
    <row r="160" spans="1:9" x14ac:dyDescent="0.25">
      <c r="A160" s="10"/>
      <c r="B160" s="11"/>
      <c r="C160" s="11"/>
      <c r="D160" s="175" t="s">
        <v>162</v>
      </c>
      <c r="E160" s="473">
        <v>2.6599999999999999E-2</v>
      </c>
      <c r="F160" s="474">
        <v>2.8400000000000002E-2</v>
      </c>
      <c r="G160" s="182" t="s">
        <v>166</v>
      </c>
      <c r="H160" s="43" t="s">
        <v>501</v>
      </c>
      <c r="I160" s="43" t="s">
        <v>502</v>
      </c>
    </row>
    <row r="161" spans="1:9" x14ac:dyDescent="0.25">
      <c r="A161" s="10"/>
      <c r="B161" s="11"/>
      <c r="C161" s="11"/>
      <c r="D161" s="175" t="s">
        <v>163</v>
      </c>
      <c r="E161" s="473">
        <v>2.6599999999999999E-2</v>
      </c>
      <c r="F161" s="474">
        <v>2.8400000000000002E-2</v>
      </c>
      <c r="G161" s="182">
        <v>2.9000000000000001E-2</v>
      </c>
      <c r="H161" s="43" t="s">
        <v>501</v>
      </c>
      <c r="I161" s="43" t="s">
        <v>502</v>
      </c>
    </row>
    <row r="162" spans="1:9" x14ac:dyDescent="0.25">
      <c r="A162" s="10"/>
      <c r="B162" s="11"/>
      <c r="C162" s="11"/>
      <c r="D162" s="175" t="s">
        <v>164</v>
      </c>
      <c r="E162" s="473">
        <v>2.63E-2</v>
      </c>
      <c r="F162" s="474">
        <v>2.8199999999999999E-2</v>
      </c>
      <c r="G162" s="182">
        <v>2.75E-2</v>
      </c>
      <c r="H162" s="43" t="s">
        <v>501</v>
      </c>
      <c r="I162" s="43" t="s">
        <v>502</v>
      </c>
    </row>
    <row r="163" spans="1:9" x14ac:dyDescent="0.25">
      <c r="A163" s="10"/>
      <c r="B163" s="11"/>
      <c r="C163" s="11"/>
      <c r="D163" s="175" t="s">
        <v>165</v>
      </c>
      <c r="E163" s="473">
        <v>2.7199999999999998E-2</v>
      </c>
      <c r="F163" s="474">
        <v>2.9100000000000001E-2</v>
      </c>
      <c r="G163" s="182">
        <v>2.8400000000000002E-2</v>
      </c>
      <c r="H163" s="43" t="s">
        <v>501</v>
      </c>
      <c r="I163" s="43" t="s">
        <v>502</v>
      </c>
    </row>
    <row r="164" spans="1:9" x14ac:dyDescent="0.25">
      <c r="A164" s="10"/>
      <c r="B164" s="11"/>
      <c r="C164" s="11"/>
      <c r="D164" s="175" t="s">
        <v>167</v>
      </c>
      <c r="E164" s="473">
        <v>2.81E-2</v>
      </c>
      <c r="F164" s="474">
        <v>2.9899999999999999E-2</v>
      </c>
      <c r="G164" s="182">
        <v>2.9399999999999999E-2</v>
      </c>
      <c r="H164" s="43" t="s">
        <v>501</v>
      </c>
      <c r="I164" s="43" t="s">
        <v>502</v>
      </c>
    </row>
    <row r="165" spans="1:9" x14ac:dyDescent="0.25">
      <c r="A165" s="10"/>
      <c r="B165" s="11"/>
      <c r="C165" s="11"/>
      <c r="D165" s="175"/>
      <c r="E165" s="475"/>
      <c r="F165" s="476"/>
      <c r="G165" s="477"/>
      <c r="H165" s="120"/>
      <c r="I165" s="120"/>
    </row>
    <row r="166" spans="1:9" x14ac:dyDescent="0.25">
      <c r="A166" s="10"/>
      <c r="B166" s="11"/>
      <c r="C166" s="11"/>
      <c r="D166" s="174" t="s">
        <v>168</v>
      </c>
      <c r="E166" s="475"/>
      <c r="F166" s="476"/>
      <c r="G166" s="477"/>
      <c r="H166" s="120"/>
      <c r="I166" s="120"/>
    </row>
    <row r="167" spans="1:9" x14ac:dyDescent="0.25">
      <c r="A167" s="10"/>
      <c r="B167" s="11"/>
      <c r="C167" s="11"/>
      <c r="D167" s="175" t="s">
        <v>157</v>
      </c>
      <c r="E167" s="473">
        <v>3.2300000000000002E-2</v>
      </c>
      <c r="F167" s="474">
        <v>4.2099999999999999E-2</v>
      </c>
      <c r="G167" s="182">
        <v>3.61E-2</v>
      </c>
      <c r="H167" s="43" t="s">
        <v>501</v>
      </c>
      <c r="I167" s="43" t="s">
        <v>502</v>
      </c>
    </row>
    <row r="168" spans="1:9" x14ac:dyDescent="0.25">
      <c r="A168" s="10"/>
      <c r="B168" s="11"/>
      <c r="C168" s="11"/>
      <c r="D168" s="175" t="s">
        <v>160</v>
      </c>
      <c r="E168" s="473">
        <v>3.1300000000000001E-2</v>
      </c>
      <c r="F168" s="474">
        <v>3.1699999999999999E-2</v>
      </c>
      <c r="G168" s="182">
        <v>3.56E-2</v>
      </c>
      <c r="H168" s="43" t="s">
        <v>501</v>
      </c>
      <c r="I168" s="43" t="s">
        <v>502</v>
      </c>
    </row>
    <row r="169" spans="1:9" x14ac:dyDescent="0.25">
      <c r="A169" s="10"/>
      <c r="B169" s="11"/>
      <c r="C169" s="11"/>
      <c r="D169" s="179" t="s">
        <v>161</v>
      </c>
      <c r="E169" s="473">
        <v>3.2599999999999997E-2</v>
      </c>
      <c r="F169" s="474">
        <v>3.2399999999999998E-2</v>
      </c>
      <c r="G169" s="182">
        <v>3.5200000000000002E-2</v>
      </c>
      <c r="H169" s="43" t="s">
        <v>501</v>
      </c>
      <c r="I169" s="43" t="s">
        <v>502</v>
      </c>
    </row>
    <row r="170" spans="1:9" x14ac:dyDescent="0.25">
      <c r="A170" s="10"/>
      <c r="B170" s="11"/>
      <c r="C170" s="11"/>
      <c r="D170" s="175" t="s">
        <v>162</v>
      </c>
      <c r="E170" s="473">
        <v>3.2500000000000001E-2</v>
      </c>
      <c r="F170" s="474">
        <v>3.2500000000000001E-2</v>
      </c>
      <c r="G170" s="182">
        <v>3.3599999999999998E-2</v>
      </c>
      <c r="H170" s="43" t="s">
        <v>501</v>
      </c>
      <c r="I170" s="43" t="s">
        <v>502</v>
      </c>
    </row>
    <row r="171" spans="1:9" x14ac:dyDescent="0.25">
      <c r="A171" s="10"/>
      <c r="B171" s="11"/>
      <c r="C171" s="11"/>
      <c r="D171" s="175" t="s">
        <v>163</v>
      </c>
      <c r="E171" s="473">
        <v>3.2500000000000001E-2</v>
      </c>
      <c r="F171" s="474">
        <v>3.2500000000000001E-2</v>
      </c>
      <c r="G171" s="182">
        <v>3.1899999999999998E-2</v>
      </c>
      <c r="H171" s="43" t="s">
        <v>501</v>
      </c>
      <c r="I171" s="43" t="s">
        <v>502</v>
      </c>
    </row>
    <row r="172" spans="1:9" x14ac:dyDescent="0.25">
      <c r="A172" s="10"/>
      <c r="B172" s="11"/>
      <c r="C172" s="11"/>
      <c r="D172" s="175" t="s">
        <v>164</v>
      </c>
      <c r="E172" s="473">
        <v>3.1199999999999999E-2</v>
      </c>
      <c r="F172" s="474">
        <v>3.1699999999999999E-2</v>
      </c>
      <c r="G172" s="182">
        <v>2.9899999999999999E-2</v>
      </c>
      <c r="H172" s="43" t="s">
        <v>501</v>
      </c>
      <c r="I172" s="43" t="s">
        <v>502</v>
      </c>
    </row>
    <row r="173" spans="1:9" x14ac:dyDescent="0.25">
      <c r="A173" s="10"/>
      <c r="B173" s="11"/>
      <c r="C173" s="11"/>
      <c r="D173" s="175" t="s">
        <v>165</v>
      </c>
      <c r="E173" s="473">
        <v>3.1099999999999999E-2</v>
      </c>
      <c r="F173" s="474">
        <v>3.1800000000000002E-2</v>
      </c>
      <c r="G173" s="182">
        <v>3.0300000000000001E-2</v>
      </c>
      <c r="H173" s="43" t="s">
        <v>501</v>
      </c>
      <c r="I173" s="43" t="s">
        <v>502</v>
      </c>
    </row>
    <row r="174" spans="1:9" x14ac:dyDescent="0.25">
      <c r="A174" s="10"/>
      <c r="B174" s="11"/>
      <c r="C174" s="11"/>
      <c r="D174" s="175" t="s">
        <v>167</v>
      </c>
      <c r="E174" s="473">
        <v>3.1300000000000001E-2</v>
      </c>
      <c r="F174" s="474">
        <v>3.2099999999999997E-2</v>
      </c>
      <c r="G174" s="182">
        <v>3.09E-2</v>
      </c>
      <c r="H174" s="43" t="s">
        <v>501</v>
      </c>
      <c r="I174" s="43" t="s">
        <v>502</v>
      </c>
    </row>
    <row r="175" spans="1:9" x14ac:dyDescent="0.25">
      <c r="A175" s="10"/>
      <c r="B175" s="11"/>
      <c r="C175" s="11"/>
      <c r="D175" s="33"/>
      <c r="E175" s="40"/>
      <c r="F175" s="41"/>
      <c r="G175" s="42"/>
      <c r="H175" s="120"/>
      <c r="I175" s="120"/>
    </row>
    <row r="176" spans="1:9" x14ac:dyDescent="0.25">
      <c r="A176" s="10"/>
      <c r="B176" s="11"/>
      <c r="C176" s="11"/>
      <c r="D176" s="174" t="s">
        <v>170</v>
      </c>
      <c r="E176" s="40"/>
      <c r="F176" s="41"/>
      <c r="G176" s="42"/>
      <c r="H176" s="120"/>
      <c r="I176" s="120"/>
    </row>
    <row r="177" spans="1:9" x14ac:dyDescent="0.25">
      <c r="A177" s="10"/>
      <c r="B177" s="11"/>
      <c r="C177" s="11"/>
      <c r="D177" s="179" t="s">
        <v>171</v>
      </c>
      <c r="E177" s="478">
        <v>20</v>
      </c>
      <c r="F177" s="185">
        <v>20</v>
      </c>
      <c r="G177" s="186">
        <v>20</v>
      </c>
      <c r="H177" s="43" t="s">
        <v>503</v>
      </c>
      <c r="I177" s="43" t="s">
        <v>502</v>
      </c>
    </row>
    <row r="178" spans="1:9" x14ac:dyDescent="0.25">
      <c r="A178" s="10"/>
      <c r="B178" s="11"/>
      <c r="C178" s="11"/>
      <c r="D178" s="179" t="s">
        <v>173</v>
      </c>
      <c r="E178" s="479">
        <v>3.2500000000000001E-2</v>
      </c>
      <c r="F178" s="188">
        <v>3.4000000000000002E-2</v>
      </c>
      <c r="G178" s="189">
        <v>3.4500000000000003E-2</v>
      </c>
      <c r="H178" s="43" t="s">
        <v>501</v>
      </c>
      <c r="I178" s="43" t="s">
        <v>502</v>
      </c>
    </row>
    <row r="179" spans="1:9" x14ac:dyDescent="0.25">
      <c r="A179" s="10"/>
      <c r="B179" s="11"/>
      <c r="C179" s="11"/>
      <c r="D179" s="33"/>
      <c r="E179" s="40"/>
      <c r="F179" s="41"/>
      <c r="G179" s="42"/>
      <c r="H179" s="120"/>
      <c r="I179" s="120"/>
    </row>
    <row r="180" spans="1:9" x14ac:dyDescent="0.25">
      <c r="A180" s="10"/>
      <c r="B180" s="11"/>
      <c r="C180" s="11"/>
      <c r="D180" s="33"/>
      <c r="E180" s="40"/>
      <c r="F180" s="41"/>
      <c r="G180" s="42"/>
      <c r="H180" s="120"/>
      <c r="I180" s="120"/>
    </row>
    <row r="181" spans="1:9" s="44" customFormat="1" x14ac:dyDescent="0.25">
      <c r="A181" s="39"/>
      <c r="B181" s="32"/>
      <c r="C181" s="32"/>
      <c r="D181" s="110" t="s">
        <v>174</v>
      </c>
      <c r="E181" s="111">
        <f>-205-168</f>
        <v>-373</v>
      </c>
      <c r="F181" s="112">
        <f>-217-146</f>
        <v>-363</v>
      </c>
      <c r="G181" s="113">
        <f>-1-70</f>
        <v>-71</v>
      </c>
      <c r="H181" s="114" t="s">
        <v>67</v>
      </c>
      <c r="I181" s="114" t="s">
        <v>67</v>
      </c>
    </row>
    <row r="182" spans="1:9" x14ac:dyDescent="0.25">
      <c r="A182" s="10"/>
      <c r="B182" s="11"/>
      <c r="C182" s="11"/>
      <c r="D182" s="190" t="s">
        <v>176</v>
      </c>
      <c r="E182" s="153">
        <v>518</v>
      </c>
      <c r="F182" s="154">
        <v>328</v>
      </c>
      <c r="G182" s="191">
        <v>200</v>
      </c>
      <c r="H182" s="43" t="s">
        <v>456</v>
      </c>
      <c r="I182" s="43" t="s">
        <v>504</v>
      </c>
    </row>
    <row r="183" spans="1:9" x14ac:dyDescent="0.25">
      <c r="A183" s="10"/>
      <c r="B183" s="11"/>
      <c r="C183" s="11"/>
      <c r="D183" s="190" t="s">
        <v>179</v>
      </c>
      <c r="E183" s="153">
        <f>-821-205</f>
        <v>-1026</v>
      </c>
      <c r="F183" s="154">
        <f>-927-146</f>
        <v>-1073</v>
      </c>
      <c r="G183" s="191">
        <f>-307-70</f>
        <v>-377</v>
      </c>
      <c r="H183" s="43" t="s">
        <v>148</v>
      </c>
      <c r="I183" s="43" t="s">
        <v>505</v>
      </c>
    </row>
    <row r="184" spans="1:9" s="44" customFormat="1" x14ac:dyDescent="0.25">
      <c r="A184" s="39"/>
      <c r="B184" s="32"/>
      <c r="C184" s="32"/>
      <c r="D184" s="190" t="s">
        <v>182</v>
      </c>
      <c r="E184" s="163">
        <v>28</v>
      </c>
      <c r="F184" s="164">
        <v>11</v>
      </c>
      <c r="G184" s="165">
        <v>-3</v>
      </c>
      <c r="H184" s="43" t="s">
        <v>456</v>
      </c>
      <c r="I184" s="43" t="s">
        <v>504</v>
      </c>
    </row>
    <row r="185" spans="1:9" x14ac:dyDescent="0.25">
      <c r="A185" s="10"/>
      <c r="B185" s="11"/>
      <c r="C185" s="11"/>
      <c r="D185" s="190" t="s">
        <v>129</v>
      </c>
      <c r="E185" s="153">
        <v>107</v>
      </c>
      <c r="F185" s="154">
        <v>372</v>
      </c>
      <c r="G185" s="191">
        <v>109</v>
      </c>
      <c r="H185" s="43" t="s">
        <v>456</v>
      </c>
      <c r="I185" s="43" t="s">
        <v>504</v>
      </c>
    </row>
    <row r="186" spans="1:9" ht="15.75" thickBot="1" x14ac:dyDescent="0.3">
      <c r="A186" s="10"/>
      <c r="B186" s="11"/>
      <c r="C186" s="11"/>
      <c r="D186" s="190"/>
      <c r="E186" s="168">
        <f>SUM(E182:E185)</f>
        <v>-373</v>
      </c>
      <c r="F186" s="169">
        <f>SUM(F182:F185)</f>
        <v>-362</v>
      </c>
      <c r="G186" s="170">
        <f>SUM(G182:G185)</f>
        <v>-71</v>
      </c>
      <c r="H186" s="120"/>
      <c r="I186" s="120"/>
    </row>
    <row r="187" spans="1:9" ht="15.75" thickTop="1" x14ac:dyDescent="0.25">
      <c r="A187" s="10"/>
      <c r="B187" s="11"/>
      <c r="C187" s="11"/>
      <c r="D187" s="190"/>
      <c r="E187" s="71" t="b">
        <f>E181=E186</f>
        <v>1</v>
      </c>
      <c r="F187" s="72" t="b">
        <f>F181=F186</f>
        <v>0</v>
      </c>
      <c r="G187" s="73" t="b">
        <f>G181=G186</f>
        <v>1</v>
      </c>
      <c r="H187" s="74"/>
      <c r="I187" s="74" t="s">
        <v>481</v>
      </c>
    </row>
    <row r="188" spans="1:9" x14ac:dyDescent="0.25">
      <c r="A188" s="10"/>
      <c r="B188" s="11"/>
      <c r="C188" s="11"/>
      <c r="D188" s="190"/>
      <c r="E188" s="294"/>
      <c r="F188" s="295"/>
      <c r="G188" s="198"/>
      <c r="H188" s="120"/>
      <c r="I188" s="120"/>
    </row>
    <row r="189" spans="1:9" ht="15.75" thickBot="1" x14ac:dyDescent="0.3">
      <c r="A189" s="10"/>
      <c r="B189" s="11"/>
      <c r="C189" s="11"/>
      <c r="D189" s="199" t="s">
        <v>185</v>
      </c>
      <c r="E189" s="200">
        <v>1447</v>
      </c>
      <c r="F189" s="201">
        <v>1278</v>
      </c>
      <c r="G189" s="202">
        <v>-2323</v>
      </c>
      <c r="H189" s="120" t="s">
        <v>506</v>
      </c>
      <c r="I189" s="120"/>
    </row>
    <row r="190" spans="1:9" ht="15.75" thickTop="1" x14ac:dyDescent="0.25">
      <c r="A190" s="10"/>
      <c r="B190" s="11"/>
      <c r="C190" s="11"/>
      <c r="D190" s="348"/>
      <c r="E190" s="71" t="b">
        <f>E189-SUM(E83,E123,E125,E181)=0</f>
        <v>1</v>
      </c>
      <c r="F190" s="72" t="b">
        <f>F189-SUM(F83,F123,F125,F181)=0</f>
        <v>1</v>
      </c>
      <c r="G190" s="73" t="b">
        <f>G189-SUM(G83,G123,G125,G181)=0</f>
        <v>1</v>
      </c>
      <c r="H190" s="74"/>
      <c r="I190" s="74" t="s">
        <v>481</v>
      </c>
    </row>
    <row r="191" spans="1:9" x14ac:dyDescent="0.25">
      <c r="A191" s="10"/>
      <c r="B191" s="11"/>
      <c r="C191" s="11"/>
      <c r="D191" s="203"/>
      <c r="E191" s="84"/>
      <c r="F191" s="85"/>
      <c r="G191" s="86"/>
      <c r="H191" s="120"/>
      <c r="I191" s="120"/>
    </row>
    <row r="192" spans="1:9" x14ac:dyDescent="0.25">
      <c r="A192" s="10"/>
      <c r="B192" s="25" t="s">
        <v>186</v>
      </c>
      <c r="C192" s="26"/>
      <c r="D192" s="27"/>
      <c r="E192" s="28"/>
      <c r="F192" s="29"/>
      <c r="G192" s="30"/>
      <c r="H192" s="31"/>
      <c r="I192" s="31"/>
    </row>
    <row r="193" spans="1:9" x14ac:dyDescent="0.25">
      <c r="A193" s="10"/>
      <c r="B193" s="204" t="s">
        <v>187</v>
      </c>
      <c r="C193" s="204"/>
      <c r="D193" s="205"/>
      <c r="E193" s="206"/>
      <c r="F193" s="207"/>
      <c r="G193" s="208"/>
      <c r="H193" s="209"/>
      <c r="I193" s="209"/>
    </row>
    <row r="194" spans="1:9" x14ac:dyDescent="0.25">
      <c r="A194" s="10"/>
      <c r="B194" s="11"/>
      <c r="C194" s="104" t="s">
        <v>507</v>
      </c>
      <c r="D194" s="105"/>
      <c r="E194" s="106"/>
      <c r="F194" s="107"/>
      <c r="G194" s="108"/>
      <c r="H194" s="109"/>
      <c r="I194" s="109"/>
    </row>
    <row r="195" spans="1:9" x14ac:dyDescent="0.25">
      <c r="A195" s="39"/>
      <c r="B195" s="32"/>
      <c r="C195" s="32"/>
      <c r="D195" s="210" t="s">
        <v>189</v>
      </c>
      <c r="E195" s="350">
        <f>+SUM(E209:E211)</f>
        <v>5169</v>
      </c>
      <c r="F195" s="351">
        <f>+SUM(F209:F211)</f>
        <v>1829</v>
      </c>
      <c r="G195" s="352">
        <f>90+1799+173</f>
        <v>2062</v>
      </c>
      <c r="H195" s="43" t="s">
        <v>508</v>
      </c>
      <c r="I195" s="43" t="s">
        <v>509</v>
      </c>
    </row>
    <row r="196" spans="1:9" x14ac:dyDescent="0.25">
      <c r="A196" s="10"/>
      <c r="B196" s="11"/>
      <c r="C196" s="11"/>
      <c r="D196" s="190" t="s">
        <v>192</v>
      </c>
      <c r="E196" s="375">
        <f>+SUM(E213:E215)</f>
        <v>132</v>
      </c>
      <c r="F196" s="376">
        <f>+SUM(F213:F215)</f>
        <v>172</v>
      </c>
      <c r="G196" s="384">
        <f>7+65</f>
        <v>72</v>
      </c>
      <c r="H196" s="43" t="s">
        <v>510</v>
      </c>
      <c r="I196" s="43" t="s">
        <v>509</v>
      </c>
    </row>
    <row r="197" spans="1:9" x14ac:dyDescent="0.25">
      <c r="A197" s="10"/>
      <c r="B197" s="11"/>
      <c r="C197" s="11"/>
      <c r="D197" s="190" t="s">
        <v>194</v>
      </c>
      <c r="E197" s="375">
        <f>+SUM(E217:E219)</f>
        <v>0</v>
      </c>
      <c r="F197" s="376">
        <f>+SUM(F217:F219)</f>
        <v>3276</v>
      </c>
      <c r="G197" s="384">
        <v>0</v>
      </c>
      <c r="H197" s="43" t="s">
        <v>511</v>
      </c>
      <c r="I197" s="43" t="s">
        <v>509</v>
      </c>
    </row>
    <row r="198" spans="1:9" x14ac:dyDescent="0.25">
      <c r="A198" s="10"/>
      <c r="B198" s="11"/>
      <c r="C198" s="11"/>
      <c r="D198" s="190" t="s">
        <v>195</v>
      </c>
      <c r="E198" s="375">
        <f>+SUM(E221:E223)</f>
        <v>134</v>
      </c>
      <c r="F198" s="376">
        <f>+SUM(F221:F223)</f>
        <v>112</v>
      </c>
      <c r="G198" s="384">
        <f>19+54</f>
        <v>73</v>
      </c>
      <c r="H198" s="43" t="s">
        <v>508</v>
      </c>
      <c r="I198" s="43" t="s">
        <v>509</v>
      </c>
    </row>
    <row r="199" spans="1:9" x14ac:dyDescent="0.25">
      <c r="A199" s="10"/>
      <c r="B199" s="11"/>
      <c r="C199" s="11"/>
      <c r="D199" s="190" t="s">
        <v>197</v>
      </c>
      <c r="E199" s="375">
        <f>+SUM(E225:E227)</f>
        <v>701</v>
      </c>
      <c r="F199" s="376">
        <f>+SUM(F225:F227)</f>
        <v>60</v>
      </c>
      <c r="G199" s="384">
        <f>-3-209-42</f>
        <v>-254</v>
      </c>
      <c r="H199" s="43" t="s">
        <v>508</v>
      </c>
      <c r="I199" s="43" t="s">
        <v>509</v>
      </c>
    </row>
    <row r="200" spans="1:9" x14ac:dyDescent="0.25">
      <c r="A200" s="10"/>
      <c r="B200" s="11"/>
      <c r="C200" s="11"/>
      <c r="D200" s="190" t="s">
        <v>198</v>
      </c>
      <c r="E200" s="375">
        <f>+SUM(E229:E231)</f>
        <v>-461</v>
      </c>
      <c r="F200" s="376">
        <f>+SUM(F229:F231)</f>
        <v>-280</v>
      </c>
      <c r="G200" s="384">
        <f>-24-75-21</f>
        <v>-120</v>
      </c>
      <c r="H200" s="43" t="s">
        <v>508</v>
      </c>
      <c r="I200" s="43" t="s">
        <v>509</v>
      </c>
    </row>
    <row r="201" spans="1:9" x14ac:dyDescent="0.25">
      <c r="A201" s="10"/>
      <c r="B201" s="11"/>
      <c r="C201" s="11"/>
      <c r="D201" s="190" t="s">
        <v>201</v>
      </c>
      <c r="E201" s="375">
        <f>+SUM(E233:E235)</f>
        <v>0</v>
      </c>
      <c r="F201" s="376">
        <f>+SUM(F233:F235)</f>
        <v>0</v>
      </c>
      <c r="G201" s="384">
        <v>0</v>
      </c>
      <c r="H201" s="43"/>
      <c r="I201" s="43" t="s">
        <v>509</v>
      </c>
    </row>
    <row r="202" spans="1:9" x14ac:dyDescent="0.25">
      <c r="A202" s="10"/>
      <c r="B202" s="11"/>
      <c r="C202" s="11"/>
      <c r="D202" s="190" t="s">
        <v>202</v>
      </c>
      <c r="E202" s="375">
        <f>+SUM(E237:E239)</f>
        <v>0</v>
      </c>
      <c r="F202" s="376">
        <f>+SUM(F237:F239)-1</f>
        <v>-1</v>
      </c>
      <c r="G202" s="384">
        <v>0</v>
      </c>
      <c r="H202" s="43"/>
      <c r="I202" s="43" t="s">
        <v>509</v>
      </c>
    </row>
    <row r="203" spans="1:9" ht="15.75" thickBot="1" x14ac:dyDescent="0.3">
      <c r="A203" s="39"/>
      <c r="B203" s="32"/>
      <c r="C203" s="32"/>
      <c r="D203" s="210" t="s">
        <v>204</v>
      </c>
      <c r="E203" s="262">
        <f>+SUM(E241:E243)</f>
        <v>5675</v>
      </c>
      <c r="F203" s="263">
        <f>236+3668+1264</f>
        <v>5168</v>
      </c>
      <c r="G203" s="264">
        <f>69+1598+162</f>
        <v>1829</v>
      </c>
      <c r="H203" s="43" t="s">
        <v>508</v>
      </c>
      <c r="I203" s="43" t="s">
        <v>509</v>
      </c>
    </row>
    <row r="204" spans="1:9" ht="15.75" thickTop="1" x14ac:dyDescent="0.25">
      <c r="A204" s="39"/>
      <c r="B204" s="32"/>
      <c r="C204" s="32"/>
      <c r="D204" s="210"/>
      <c r="E204" s="84" t="b">
        <f>SUM(E195:E202)=E203</f>
        <v>1</v>
      </c>
      <c r="F204" s="85" t="b">
        <f>SUM(F195:F202)=F203</f>
        <v>1</v>
      </c>
      <c r="G204" s="86" t="b">
        <f>SUM(G195:G202)=G203</f>
        <v>0</v>
      </c>
      <c r="H204" s="480"/>
      <c r="I204" s="480" t="s">
        <v>512</v>
      </c>
    </row>
    <row r="205" spans="1:9" x14ac:dyDescent="0.25">
      <c r="A205" s="39"/>
      <c r="B205" s="32"/>
      <c r="C205" s="32"/>
      <c r="D205" s="210"/>
      <c r="E205" s="84" t="b">
        <f>+E200=-E84</f>
        <v>1</v>
      </c>
      <c r="F205" s="85" t="b">
        <f>+F200=-F84</f>
        <v>1</v>
      </c>
      <c r="G205" s="86" t="b">
        <f>+G200=-G84</f>
        <v>0</v>
      </c>
      <c r="H205" s="480"/>
      <c r="I205" s="480" t="s">
        <v>513</v>
      </c>
    </row>
    <row r="206" spans="1:9" x14ac:dyDescent="0.25">
      <c r="A206" s="39"/>
      <c r="B206" s="32"/>
      <c r="C206" s="32"/>
      <c r="D206" s="210"/>
      <c r="E206" s="84" t="b">
        <f>E203=E30</f>
        <v>1</v>
      </c>
      <c r="F206" s="85" t="b">
        <f>F203=F30</f>
        <v>1</v>
      </c>
      <c r="G206" s="86" t="b">
        <f>G203=G30</f>
        <v>0</v>
      </c>
      <c r="H206" s="120"/>
      <c r="I206" s="481" t="s">
        <v>513</v>
      </c>
    </row>
    <row r="207" spans="1:9" x14ac:dyDescent="0.25">
      <c r="A207" s="39"/>
      <c r="B207" s="32"/>
      <c r="C207" s="32"/>
      <c r="D207" s="210"/>
      <c r="E207" s="84"/>
      <c r="F207" s="85"/>
      <c r="G207" s="86"/>
      <c r="H207" s="120"/>
      <c r="I207" s="120"/>
    </row>
    <row r="208" spans="1:9" outlineLevel="1" x14ac:dyDescent="0.25">
      <c r="A208" s="39"/>
      <c r="B208" s="32"/>
      <c r="C208" s="223" t="s">
        <v>205</v>
      </c>
      <c r="D208" s="224"/>
      <c r="E208" s="225"/>
      <c r="F208" s="226"/>
      <c r="G208" s="227"/>
      <c r="H208" s="228"/>
      <c r="I208" s="228"/>
    </row>
    <row r="209" spans="1:9" outlineLevel="1" x14ac:dyDescent="0.25">
      <c r="A209" s="39"/>
      <c r="B209" s="32"/>
      <c r="C209" s="32"/>
      <c r="D209" s="229" t="s">
        <v>206</v>
      </c>
      <c r="E209" s="482">
        <f t="shared" ref="E209:F211" si="6">F241</f>
        <v>237</v>
      </c>
      <c r="F209" s="483">
        <f t="shared" si="6"/>
        <v>69</v>
      </c>
      <c r="G209" s="484">
        <v>90</v>
      </c>
      <c r="H209" s="48" t="s">
        <v>303</v>
      </c>
      <c r="I209" s="48" t="s">
        <v>514</v>
      </c>
    </row>
    <row r="210" spans="1:9" outlineLevel="1" x14ac:dyDescent="0.25">
      <c r="A210" s="39"/>
      <c r="B210" s="32"/>
      <c r="C210" s="32"/>
      <c r="D210" s="229" t="s">
        <v>515</v>
      </c>
      <c r="E210" s="482">
        <f t="shared" si="6"/>
        <v>3668</v>
      </c>
      <c r="F210" s="483">
        <f t="shared" si="6"/>
        <v>1598</v>
      </c>
      <c r="G210" s="484">
        <v>1799</v>
      </c>
      <c r="H210" s="48" t="s">
        <v>516</v>
      </c>
      <c r="I210" s="48" t="s">
        <v>517</v>
      </c>
    </row>
    <row r="211" spans="1:9" outlineLevel="1" x14ac:dyDescent="0.25">
      <c r="A211" s="39"/>
      <c r="B211" s="32"/>
      <c r="C211" s="32"/>
      <c r="D211" s="229" t="s">
        <v>518</v>
      </c>
      <c r="E211" s="482">
        <f t="shared" si="6"/>
        <v>1264</v>
      </c>
      <c r="F211" s="483">
        <f t="shared" si="6"/>
        <v>162</v>
      </c>
      <c r="G211" s="484">
        <v>173</v>
      </c>
      <c r="H211" s="48" t="s">
        <v>519</v>
      </c>
      <c r="I211" s="48" t="s">
        <v>520</v>
      </c>
    </row>
    <row r="212" spans="1:9" outlineLevel="1" x14ac:dyDescent="0.25">
      <c r="A212" s="39"/>
      <c r="B212" s="32"/>
      <c r="C212" s="32"/>
      <c r="D212" s="229"/>
      <c r="E212" s="482"/>
      <c r="F212" s="483"/>
      <c r="G212" s="484"/>
      <c r="H212" s="48"/>
      <c r="I212" s="48"/>
    </row>
    <row r="213" spans="1:9" outlineLevel="1" x14ac:dyDescent="0.25">
      <c r="A213" s="39"/>
      <c r="B213" s="32"/>
      <c r="C213" s="11"/>
      <c r="D213" s="234" t="s">
        <v>214</v>
      </c>
      <c r="E213" s="485">
        <v>101</v>
      </c>
      <c r="F213" s="486">
        <v>96</v>
      </c>
      <c r="G213" s="487">
        <v>7</v>
      </c>
      <c r="H213" s="48" t="s">
        <v>303</v>
      </c>
      <c r="I213" s="48" t="s">
        <v>514</v>
      </c>
    </row>
    <row r="214" spans="1:9" outlineLevel="1" x14ac:dyDescent="0.25">
      <c r="A214" s="39"/>
      <c r="B214" s="32"/>
      <c r="C214" s="11"/>
      <c r="D214" s="234" t="s">
        <v>521</v>
      </c>
      <c r="E214" s="485">
        <v>31</v>
      </c>
      <c r="F214" s="486">
        <v>76</v>
      </c>
      <c r="G214" s="487">
        <v>65</v>
      </c>
      <c r="H214" s="48" t="s">
        <v>516</v>
      </c>
      <c r="I214" s="48" t="s">
        <v>517</v>
      </c>
    </row>
    <row r="215" spans="1:9" outlineLevel="1" x14ac:dyDescent="0.25">
      <c r="A215" s="39"/>
      <c r="B215" s="32"/>
      <c r="C215" s="11"/>
      <c r="D215" s="234" t="s">
        <v>522</v>
      </c>
      <c r="E215" s="485">
        <v>0</v>
      </c>
      <c r="F215" s="486">
        <v>0</v>
      </c>
      <c r="G215" s="487">
        <v>0</v>
      </c>
      <c r="H215" s="48" t="s">
        <v>519</v>
      </c>
      <c r="I215" s="48" t="s">
        <v>520</v>
      </c>
    </row>
    <row r="216" spans="1:9" outlineLevel="1" x14ac:dyDescent="0.25">
      <c r="A216" s="39"/>
      <c r="B216" s="32"/>
      <c r="C216" s="11"/>
      <c r="D216" s="234"/>
      <c r="E216" s="485"/>
      <c r="F216" s="486"/>
      <c r="G216" s="487"/>
      <c r="H216" s="48"/>
      <c r="I216" s="48"/>
    </row>
    <row r="217" spans="1:9" outlineLevel="1" x14ac:dyDescent="0.25">
      <c r="A217" s="39"/>
      <c r="B217" s="32"/>
      <c r="C217" s="11"/>
      <c r="D217" s="234" t="s">
        <v>218</v>
      </c>
      <c r="E217" s="485">
        <v>0</v>
      </c>
      <c r="F217" s="486">
        <v>96</v>
      </c>
      <c r="G217" s="487">
        <v>0</v>
      </c>
      <c r="H217" s="48" t="s">
        <v>303</v>
      </c>
      <c r="I217" s="48" t="s">
        <v>514</v>
      </c>
    </row>
    <row r="218" spans="1:9" outlineLevel="1" x14ac:dyDescent="0.25">
      <c r="A218" s="39"/>
      <c r="B218" s="32"/>
      <c r="C218" s="11"/>
      <c r="D218" s="234" t="s">
        <v>523</v>
      </c>
      <c r="E218" s="485">
        <v>0</v>
      </c>
      <c r="F218" s="486">
        <v>2043</v>
      </c>
      <c r="G218" s="487">
        <v>0</v>
      </c>
      <c r="H218" s="48" t="s">
        <v>516</v>
      </c>
      <c r="I218" s="48" t="s">
        <v>517</v>
      </c>
    </row>
    <row r="219" spans="1:9" outlineLevel="1" x14ac:dyDescent="0.25">
      <c r="A219" s="39"/>
      <c r="B219" s="32"/>
      <c r="C219" s="11"/>
      <c r="D219" s="234" t="s">
        <v>524</v>
      </c>
      <c r="E219" s="485">
        <v>0</v>
      </c>
      <c r="F219" s="486">
        <v>1137</v>
      </c>
      <c r="G219" s="487">
        <v>0</v>
      </c>
      <c r="H219" s="48" t="s">
        <v>519</v>
      </c>
      <c r="I219" s="48" t="s">
        <v>520</v>
      </c>
    </row>
    <row r="220" spans="1:9" outlineLevel="1" x14ac:dyDescent="0.25">
      <c r="A220" s="39"/>
      <c r="B220" s="32"/>
      <c r="C220" s="11"/>
      <c r="D220" s="234"/>
      <c r="E220" s="485"/>
      <c r="F220" s="486"/>
      <c r="G220" s="487"/>
      <c r="H220" s="48"/>
      <c r="I220" s="48"/>
    </row>
    <row r="221" spans="1:9" outlineLevel="1" x14ac:dyDescent="0.25">
      <c r="A221" s="39"/>
      <c r="B221" s="32"/>
      <c r="C221" s="11"/>
      <c r="D221" s="234" t="s">
        <v>221</v>
      </c>
      <c r="E221" s="485">
        <v>11</v>
      </c>
      <c r="F221" s="486">
        <v>5</v>
      </c>
      <c r="G221" s="487">
        <v>0</v>
      </c>
      <c r="H221" s="48" t="s">
        <v>303</v>
      </c>
      <c r="I221" s="48" t="s">
        <v>514</v>
      </c>
    </row>
    <row r="222" spans="1:9" outlineLevel="1" x14ac:dyDescent="0.25">
      <c r="A222" s="39"/>
      <c r="B222" s="32"/>
      <c r="C222" s="11"/>
      <c r="D222" s="234" t="s">
        <v>525</v>
      </c>
      <c r="E222" s="485">
        <v>114</v>
      </c>
      <c r="F222" s="486">
        <v>71</v>
      </c>
      <c r="G222" s="487">
        <v>19</v>
      </c>
      <c r="H222" s="48" t="s">
        <v>516</v>
      </c>
      <c r="I222" s="48" t="s">
        <v>517</v>
      </c>
    </row>
    <row r="223" spans="1:9" outlineLevel="1" x14ac:dyDescent="0.25">
      <c r="A223" s="39"/>
      <c r="B223" s="32"/>
      <c r="C223" s="11"/>
      <c r="D223" s="234" t="s">
        <v>526</v>
      </c>
      <c r="E223" s="485">
        <v>9</v>
      </c>
      <c r="F223" s="486">
        <v>36</v>
      </c>
      <c r="G223" s="487">
        <v>54</v>
      </c>
      <c r="H223" s="48" t="s">
        <v>527</v>
      </c>
      <c r="I223" s="48" t="s">
        <v>520</v>
      </c>
    </row>
    <row r="224" spans="1:9" outlineLevel="1" x14ac:dyDescent="0.25">
      <c r="A224" s="39"/>
      <c r="B224" s="32"/>
      <c r="C224" s="11"/>
      <c r="D224" s="234"/>
      <c r="E224" s="485"/>
      <c r="F224" s="486"/>
      <c r="G224" s="487"/>
      <c r="H224" s="48"/>
      <c r="I224" s="48"/>
    </row>
    <row r="225" spans="1:9" outlineLevel="1" x14ac:dyDescent="0.25">
      <c r="A225" s="39"/>
      <c r="B225" s="32"/>
      <c r="C225" s="11"/>
      <c r="D225" s="234" t="s">
        <v>224</v>
      </c>
      <c r="E225" s="485">
        <v>93</v>
      </c>
      <c r="F225" s="486">
        <v>41</v>
      </c>
      <c r="G225" s="487">
        <v>-3</v>
      </c>
      <c r="H225" s="48" t="s">
        <v>303</v>
      </c>
      <c r="I225" s="48" t="s">
        <v>514</v>
      </c>
    </row>
    <row r="226" spans="1:9" outlineLevel="1" x14ac:dyDescent="0.25">
      <c r="A226" s="39"/>
      <c r="B226" s="32"/>
      <c r="C226" s="11"/>
      <c r="D226" s="234" t="s">
        <v>528</v>
      </c>
      <c r="E226" s="485">
        <v>520</v>
      </c>
      <c r="F226" s="486">
        <v>25</v>
      </c>
      <c r="G226" s="487">
        <v>-209</v>
      </c>
      <c r="H226" s="48" t="s">
        <v>516</v>
      </c>
      <c r="I226" s="48" t="s">
        <v>517</v>
      </c>
    </row>
    <row r="227" spans="1:9" outlineLevel="1" x14ac:dyDescent="0.25">
      <c r="A227" s="39"/>
      <c r="B227" s="32"/>
      <c r="C227" s="11"/>
      <c r="D227" s="234" t="s">
        <v>529</v>
      </c>
      <c r="E227" s="485">
        <v>88</v>
      </c>
      <c r="F227" s="486">
        <v>-6</v>
      </c>
      <c r="G227" s="487">
        <v>-42</v>
      </c>
      <c r="H227" s="48" t="s">
        <v>527</v>
      </c>
      <c r="I227" s="48" t="s">
        <v>520</v>
      </c>
    </row>
    <row r="228" spans="1:9" outlineLevel="1" x14ac:dyDescent="0.25">
      <c r="A228" s="39"/>
      <c r="B228" s="32"/>
      <c r="C228" s="11"/>
      <c r="D228" s="234"/>
      <c r="E228" s="485"/>
      <c r="F228" s="486"/>
      <c r="G228" s="487"/>
      <c r="H228" s="48"/>
      <c r="I228" s="48"/>
    </row>
    <row r="229" spans="1:9" outlineLevel="1" x14ac:dyDescent="0.25">
      <c r="A229" s="39"/>
      <c r="B229" s="32"/>
      <c r="C229" s="11"/>
      <c r="D229" s="234" t="s">
        <v>530</v>
      </c>
      <c r="E229" s="485">
        <v>-148</v>
      </c>
      <c r="F229" s="486">
        <v>-70</v>
      </c>
      <c r="G229" s="487">
        <v>-24</v>
      </c>
      <c r="H229" s="48" t="s">
        <v>303</v>
      </c>
      <c r="I229" s="48" t="s">
        <v>514</v>
      </c>
    </row>
    <row r="230" spans="1:9" outlineLevel="1" x14ac:dyDescent="0.25">
      <c r="A230" s="39"/>
      <c r="B230" s="32"/>
      <c r="C230" s="11"/>
      <c r="D230" s="234" t="s">
        <v>531</v>
      </c>
      <c r="E230" s="485">
        <v>-211</v>
      </c>
      <c r="F230" s="486">
        <v>-145</v>
      </c>
      <c r="G230" s="487">
        <v>-75</v>
      </c>
      <c r="H230" s="48" t="s">
        <v>516</v>
      </c>
      <c r="I230" s="48" t="s">
        <v>517</v>
      </c>
    </row>
    <row r="231" spans="1:9" outlineLevel="1" x14ac:dyDescent="0.25">
      <c r="A231" s="39"/>
      <c r="B231" s="32"/>
      <c r="C231" s="11"/>
      <c r="D231" s="234" t="s">
        <v>532</v>
      </c>
      <c r="E231" s="485">
        <v>-102</v>
      </c>
      <c r="F231" s="486">
        <v>-65</v>
      </c>
      <c r="G231" s="487">
        <v>-21</v>
      </c>
      <c r="H231" s="48" t="s">
        <v>527</v>
      </c>
      <c r="I231" s="48" t="s">
        <v>520</v>
      </c>
    </row>
    <row r="232" spans="1:9" outlineLevel="1" x14ac:dyDescent="0.25">
      <c r="A232" s="39"/>
      <c r="B232" s="32"/>
      <c r="C232" s="11"/>
      <c r="D232" s="234"/>
      <c r="E232" s="485"/>
      <c r="F232" s="486"/>
      <c r="G232" s="487"/>
      <c r="H232" s="48"/>
      <c r="I232" s="48"/>
    </row>
    <row r="233" spans="1:9" outlineLevel="1" x14ac:dyDescent="0.25">
      <c r="A233" s="39"/>
      <c r="B233" s="32"/>
      <c r="C233" s="11"/>
      <c r="D233" s="234" t="s">
        <v>533</v>
      </c>
      <c r="E233" s="485">
        <v>0</v>
      </c>
      <c r="F233" s="486">
        <v>0</v>
      </c>
      <c r="G233" s="487">
        <v>0</v>
      </c>
      <c r="H233" s="48" t="s">
        <v>303</v>
      </c>
      <c r="I233" s="48" t="s">
        <v>514</v>
      </c>
    </row>
    <row r="234" spans="1:9" outlineLevel="1" x14ac:dyDescent="0.25">
      <c r="A234" s="39"/>
      <c r="B234" s="32"/>
      <c r="C234" s="11"/>
      <c r="D234" s="234" t="s">
        <v>534</v>
      </c>
      <c r="E234" s="485">
        <v>0</v>
      </c>
      <c r="F234" s="486">
        <v>0</v>
      </c>
      <c r="G234" s="487">
        <v>0</v>
      </c>
      <c r="H234" s="48" t="s">
        <v>516</v>
      </c>
      <c r="I234" s="48" t="s">
        <v>517</v>
      </c>
    </row>
    <row r="235" spans="1:9" outlineLevel="1" x14ac:dyDescent="0.25">
      <c r="A235" s="39"/>
      <c r="B235" s="32"/>
      <c r="C235" s="11"/>
      <c r="D235" s="234" t="s">
        <v>535</v>
      </c>
      <c r="E235" s="485">
        <v>0</v>
      </c>
      <c r="F235" s="486">
        <v>0</v>
      </c>
      <c r="G235" s="487">
        <v>0</v>
      </c>
      <c r="H235" s="48" t="s">
        <v>527</v>
      </c>
      <c r="I235" s="48" t="s">
        <v>520</v>
      </c>
    </row>
    <row r="236" spans="1:9" outlineLevel="1" x14ac:dyDescent="0.25">
      <c r="A236" s="39"/>
      <c r="B236" s="32"/>
      <c r="C236" s="11"/>
      <c r="D236" s="234"/>
      <c r="E236" s="485"/>
      <c r="F236" s="486"/>
      <c r="G236" s="487"/>
      <c r="H236" s="48"/>
      <c r="I236" s="48"/>
    </row>
    <row r="237" spans="1:9" outlineLevel="1" x14ac:dyDescent="0.25">
      <c r="A237" s="39"/>
      <c r="B237" s="32"/>
      <c r="C237" s="11"/>
      <c r="D237" s="234" t="s">
        <v>536</v>
      </c>
      <c r="E237" s="485">
        <v>0</v>
      </c>
      <c r="F237" s="486">
        <v>0</v>
      </c>
      <c r="G237" s="487">
        <v>0</v>
      </c>
      <c r="H237" s="48" t="s">
        <v>303</v>
      </c>
      <c r="I237" s="48" t="s">
        <v>514</v>
      </c>
    </row>
    <row r="238" spans="1:9" outlineLevel="1" x14ac:dyDescent="0.25">
      <c r="A238" s="39"/>
      <c r="B238" s="32"/>
      <c r="C238" s="11"/>
      <c r="D238" s="234" t="s">
        <v>537</v>
      </c>
      <c r="E238" s="485">
        <v>0</v>
      </c>
      <c r="F238" s="486">
        <v>0</v>
      </c>
      <c r="G238" s="487">
        <v>0</v>
      </c>
      <c r="H238" s="48" t="s">
        <v>516</v>
      </c>
      <c r="I238" s="48" t="s">
        <v>517</v>
      </c>
    </row>
    <row r="239" spans="1:9" outlineLevel="1" x14ac:dyDescent="0.25">
      <c r="A239" s="39"/>
      <c r="B239" s="32"/>
      <c r="C239" s="11"/>
      <c r="D239" s="234" t="s">
        <v>538</v>
      </c>
      <c r="E239" s="485">
        <v>0</v>
      </c>
      <c r="F239" s="486">
        <v>0</v>
      </c>
      <c r="G239" s="487">
        <v>0</v>
      </c>
      <c r="H239" s="48" t="s">
        <v>527</v>
      </c>
      <c r="I239" s="48" t="s">
        <v>520</v>
      </c>
    </row>
    <row r="240" spans="1:9" outlineLevel="1" x14ac:dyDescent="0.25">
      <c r="A240" s="39"/>
      <c r="B240" s="32"/>
      <c r="C240" s="11"/>
      <c r="D240" s="234"/>
      <c r="E240" s="485"/>
      <c r="F240" s="486"/>
      <c r="G240" s="487"/>
      <c r="H240" s="48"/>
      <c r="I240" s="48"/>
    </row>
    <row r="241" spans="1:9" ht="15.75" outlineLevel="1" thickBot="1" x14ac:dyDescent="0.3">
      <c r="A241" s="39"/>
      <c r="B241" s="32"/>
      <c r="C241" s="488">
        <f>+(E241-F241)/F241</f>
        <v>0.24050632911392406</v>
      </c>
      <c r="D241" s="229" t="s">
        <v>239</v>
      </c>
      <c r="E241" s="489">
        <f t="shared" ref="E241:F243" si="7">SUM(E237,E233,E229,E225,E221,E217,E213,E209)</f>
        <v>294</v>
      </c>
      <c r="F241" s="490">
        <f t="shared" si="7"/>
        <v>237</v>
      </c>
      <c r="G241" s="491">
        <v>69</v>
      </c>
      <c r="H241" s="66" t="s">
        <v>539</v>
      </c>
      <c r="I241" s="242" t="s">
        <v>540</v>
      </c>
    </row>
    <row r="242" spans="1:9" ht="16.5" outlineLevel="1" thickTop="1" thickBot="1" x14ac:dyDescent="0.3">
      <c r="A242" s="39"/>
      <c r="B242" s="32"/>
      <c r="C242" s="32"/>
      <c r="D242" s="229" t="s">
        <v>541</v>
      </c>
      <c r="E242" s="489">
        <f t="shared" si="7"/>
        <v>4122</v>
      </c>
      <c r="F242" s="490">
        <f t="shared" si="7"/>
        <v>3668</v>
      </c>
      <c r="G242" s="491">
        <v>1598</v>
      </c>
      <c r="H242" s="242"/>
      <c r="I242" s="242" t="s">
        <v>542</v>
      </c>
    </row>
    <row r="243" spans="1:9" ht="16.5" outlineLevel="1" thickTop="1" thickBot="1" x14ac:dyDescent="0.3">
      <c r="A243" s="39"/>
      <c r="B243" s="32"/>
      <c r="C243" s="32"/>
      <c r="D243" s="229" t="s">
        <v>543</v>
      </c>
      <c r="E243" s="489">
        <f t="shared" si="7"/>
        <v>1259</v>
      </c>
      <c r="F243" s="490">
        <f t="shared" si="7"/>
        <v>1264</v>
      </c>
      <c r="G243" s="491">
        <v>162</v>
      </c>
      <c r="H243" s="66" t="s">
        <v>539</v>
      </c>
      <c r="I243" s="242" t="s">
        <v>544</v>
      </c>
    </row>
    <row r="244" spans="1:9" ht="15.75" thickTop="1" x14ac:dyDescent="0.25">
      <c r="A244" s="39"/>
      <c r="B244" s="32"/>
      <c r="C244" s="32"/>
      <c r="D244" s="210"/>
      <c r="E244" s="84"/>
      <c r="F244" s="85"/>
      <c r="G244" s="86"/>
      <c r="H244" s="120"/>
      <c r="I244" s="120"/>
    </row>
    <row r="245" spans="1:9" x14ac:dyDescent="0.25">
      <c r="A245" s="10"/>
      <c r="B245" s="246"/>
      <c r="C245" s="104" t="s">
        <v>545</v>
      </c>
      <c r="D245" s="247"/>
      <c r="E245" s="248"/>
      <c r="F245" s="249"/>
      <c r="G245" s="250"/>
      <c r="H245" s="109"/>
      <c r="I245" s="109"/>
    </row>
    <row r="246" spans="1:9" x14ac:dyDescent="0.25">
      <c r="A246" s="10"/>
      <c r="B246" s="246"/>
      <c r="C246" s="246"/>
      <c r="D246" s="251" t="s">
        <v>245</v>
      </c>
      <c r="E246" s="492">
        <f>44+186+94</f>
        <v>324</v>
      </c>
      <c r="F246" s="493">
        <f>51+180+97</f>
        <v>328</v>
      </c>
      <c r="G246" s="494">
        <f>14+72+19</f>
        <v>105</v>
      </c>
      <c r="H246" s="43" t="s">
        <v>546</v>
      </c>
      <c r="I246" s="43" t="s">
        <v>547</v>
      </c>
    </row>
    <row r="247" spans="1:9" x14ac:dyDescent="0.25">
      <c r="A247" s="10"/>
      <c r="B247" s="246"/>
      <c r="C247" s="246"/>
      <c r="D247" s="251" t="s">
        <v>248</v>
      </c>
      <c r="E247" s="495">
        <f>31+186+88</f>
        <v>305</v>
      </c>
      <c r="F247" s="496">
        <f>18+174+90</f>
        <v>282</v>
      </c>
      <c r="G247" s="497">
        <f>7+71+19</f>
        <v>97</v>
      </c>
      <c r="H247" s="43" t="s">
        <v>546</v>
      </c>
      <c r="I247" s="43" t="s">
        <v>547</v>
      </c>
    </row>
    <row r="248" spans="1:9" x14ac:dyDescent="0.25">
      <c r="A248" s="10"/>
      <c r="B248" s="246"/>
      <c r="C248" s="246"/>
      <c r="D248" s="251" t="s">
        <v>249</v>
      </c>
      <c r="E248" s="495">
        <f>19+176+82</f>
        <v>277</v>
      </c>
      <c r="F248" s="496">
        <f>16+169+85</f>
        <v>270</v>
      </c>
      <c r="G248" s="497">
        <f>5+71+19</f>
        <v>95</v>
      </c>
      <c r="H248" s="43" t="s">
        <v>546</v>
      </c>
      <c r="I248" s="43" t="s">
        <v>547</v>
      </c>
    </row>
    <row r="249" spans="1:9" x14ac:dyDescent="0.25">
      <c r="A249" s="10"/>
      <c r="B249" s="246"/>
      <c r="C249" s="246"/>
      <c r="D249" s="251" t="s">
        <v>250</v>
      </c>
      <c r="E249" s="495">
        <f>19+170+76</f>
        <v>265</v>
      </c>
      <c r="F249" s="496">
        <f>15+164+79</f>
        <v>258</v>
      </c>
      <c r="G249" s="497">
        <f>5+69+19</f>
        <v>93</v>
      </c>
      <c r="H249" s="43" t="s">
        <v>546</v>
      </c>
      <c r="I249" s="43" t="s">
        <v>547</v>
      </c>
    </row>
    <row r="250" spans="1:9" x14ac:dyDescent="0.25">
      <c r="A250" s="10"/>
      <c r="B250" s="246"/>
      <c r="C250" s="246"/>
      <c r="D250" s="251" t="s">
        <v>251</v>
      </c>
      <c r="E250" s="495">
        <f>19+163+71</f>
        <v>253</v>
      </c>
      <c r="F250" s="496">
        <f>14+157+73</f>
        <v>244</v>
      </c>
      <c r="G250" s="497">
        <f>5+68+19</f>
        <v>92</v>
      </c>
      <c r="H250" s="43" t="s">
        <v>546</v>
      </c>
      <c r="I250" s="43" t="s">
        <v>547</v>
      </c>
    </row>
    <row r="251" spans="1:9" x14ac:dyDescent="0.25">
      <c r="A251" s="10"/>
      <c r="B251" s="246"/>
      <c r="C251" s="246"/>
      <c r="D251" s="251" t="s">
        <v>252</v>
      </c>
      <c r="E251" s="495">
        <f>94+736+280</f>
        <v>1110</v>
      </c>
      <c r="F251" s="496">
        <f>64+702+278</f>
        <v>1044</v>
      </c>
      <c r="G251" s="497">
        <f>26+301+68</f>
        <v>395</v>
      </c>
      <c r="H251" s="43" t="s">
        <v>546</v>
      </c>
      <c r="I251" s="43" t="s">
        <v>547</v>
      </c>
    </row>
    <row r="252" spans="1:9" x14ac:dyDescent="0.25">
      <c r="A252" s="10"/>
      <c r="B252" s="246"/>
      <c r="C252" s="246"/>
      <c r="D252" s="251" t="s">
        <v>253</v>
      </c>
      <c r="E252" s="495"/>
      <c r="F252" s="496"/>
      <c r="G252" s="497"/>
      <c r="H252" s="43" t="s">
        <v>546</v>
      </c>
      <c r="I252" s="43" t="s">
        <v>547</v>
      </c>
    </row>
    <row r="253" spans="1:9" x14ac:dyDescent="0.25">
      <c r="A253" s="10"/>
      <c r="B253" s="246"/>
      <c r="C253" s="246"/>
      <c r="D253" s="251" t="s">
        <v>254</v>
      </c>
      <c r="E253" s="495"/>
      <c r="F253" s="496"/>
      <c r="G253" s="497"/>
      <c r="H253" s="43" t="s">
        <v>546</v>
      </c>
      <c r="I253" s="43" t="s">
        <v>547</v>
      </c>
    </row>
    <row r="254" spans="1:9" x14ac:dyDescent="0.25">
      <c r="A254" s="10"/>
      <c r="B254" s="246"/>
      <c r="C254" s="246"/>
      <c r="D254" s="251" t="s">
        <v>255</v>
      </c>
      <c r="E254" s="495"/>
      <c r="F254" s="496"/>
      <c r="G254" s="497"/>
      <c r="H254" s="43" t="s">
        <v>546</v>
      </c>
      <c r="I254" s="43" t="s">
        <v>547</v>
      </c>
    </row>
    <row r="255" spans="1:9" x14ac:dyDescent="0.25">
      <c r="A255" s="10"/>
      <c r="B255" s="246"/>
      <c r="C255" s="246"/>
      <c r="D255" s="251" t="s">
        <v>256</v>
      </c>
      <c r="E255" s="495"/>
      <c r="F255" s="496"/>
      <c r="G255" s="497"/>
      <c r="H255" s="43" t="s">
        <v>546</v>
      </c>
      <c r="I255" s="43" t="s">
        <v>547</v>
      </c>
    </row>
    <row r="256" spans="1:9" x14ac:dyDescent="0.25">
      <c r="A256" s="10"/>
      <c r="B256" s="246"/>
      <c r="C256" s="246"/>
      <c r="D256" s="251" t="s">
        <v>257</v>
      </c>
      <c r="E256" s="492">
        <f>68+2504+570</f>
        <v>3142</v>
      </c>
      <c r="F256" s="493">
        <f>59+2123+562</f>
        <v>2744</v>
      </c>
      <c r="G256" s="494">
        <f>7+946</f>
        <v>953</v>
      </c>
      <c r="H256" s="43" t="s">
        <v>546</v>
      </c>
      <c r="I256" s="43" t="s">
        <v>547</v>
      </c>
    </row>
    <row r="257" spans="1:9" ht="15.75" thickBot="1" x14ac:dyDescent="0.3">
      <c r="A257" s="10"/>
      <c r="B257" s="246"/>
      <c r="C257" s="246"/>
      <c r="D257" s="261"/>
      <c r="E257" s="262">
        <f>SUM(E246:E256)</f>
        <v>5676</v>
      </c>
      <c r="F257" s="263">
        <f>SUM(F246:F256)</f>
        <v>5170</v>
      </c>
      <c r="G257" s="264">
        <f>SUM(G246:G256)</f>
        <v>1830</v>
      </c>
      <c r="H257" s="480"/>
      <c r="I257" s="480"/>
    </row>
    <row r="258" spans="1:9" ht="15.75" thickTop="1" x14ac:dyDescent="0.25">
      <c r="A258" s="10"/>
      <c r="B258" s="246"/>
      <c r="C258" s="246"/>
      <c r="D258" s="498"/>
      <c r="E258" s="84" t="b">
        <f>SUM(E246:E256)=E203</f>
        <v>0</v>
      </c>
      <c r="F258" s="85" t="b">
        <f>SUM(F246:F256)=F203</f>
        <v>0</v>
      </c>
      <c r="G258" s="86" t="b">
        <f>SUM(G246:G256)=G203</f>
        <v>0</v>
      </c>
      <c r="H258" s="74" t="s">
        <v>548</v>
      </c>
      <c r="I258" s="480" t="s">
        <v>549</v>
      </c>
    </row>
    <row r="259" spans="1:9" x14ac:dyDescent="0.25">
      <c r="A259" s="10"/>
      <c r="B259" s="246"/>
      <c r="C259" s="246"/>
      <c r="D259" s="261"/>
      <c r="E259" s="171"/>
      <c r="F259" s="172"/>
      <c r="G259" s="173"/>
      <c r="H259" s="120"/>
      <c r="I259" s="120"/>
    </row>
    <row r="260" spans="1:9" x14ac:dyDescent="0.25">
      <c r="A260" s="10"/>
      <c r="B260" s="11"/>
      <c r="C260" s="104" t="s">
        <v>260</v>
      </c>
      <c r="D260" s="105"/>
      <c r="E260" s="106"/>
      <c r="F260" s="107"/>
      <c r="G260" s="108"/>
      <c r="H260" s="109"/>
      <c r="I260" s="109"/>
    </row>
    <row r="261" spans="1:9" x14ac:dyDescent="0.25">
      <c r="A261" s="39"/>
      <c r="B261" s="32"/>
      <c r="C261" s="32"/>
      <c r="D261" s="210" t="s">
        <v>189</v>
      </c>
      <c r="E261" s="350">
        <f>+SUM(E284:E286)</f>
        <v>2849</v>
      </c>
      <c r="F261" s="351">
        <f>+SUM(F284:F286)</f>
        <v>1190</v>
      </c>
      <c r="G261" s="352">
        <f>218+1384+110</f>
        <v>1712</v>
      </c>
      <c r="H261" s="43" t="s">
        <v>550</v>
      </c>
      <c r="I261" s="43" t="s">
        <v>509</v>
      </c>
    </row>
    <row r="262" spans="1:9" x14ac:dyDescent="0.25">
      <c r="A262" s="10"/>
      <c r="B262" s="11"/>
      <c r="C262" s="11"/>
      <c r="D262" s="190" t="s">
        <v>192</v>
      </c>
      <c r="E262" s="375">
        <f>+SUM(E288:E290)</f>
        <v>63</v>
      </c>
      <c r="F262" s="376">
        <f>+SUM(F288:F290)</f>
        <v>52</v>
      </c>
      <c r="G262" s="384">
        <f>44+34+2</f>
        <v>80</v>
      </c>
      <c r="H262" s="43" t="s">
        <v>21</v>
      </c>
      <c r="I262" s="43" t="s">
        <v>21</v>
      </c>
    </row>
    <row r="263" spans="1:9" x14ac:dyDescent="0.25">
      <c r="A263" s="10"/>
      <c r="B263" s="11"/>
      <c r="C263" s="11"/>
      <c r="D263" s="190" t="s">
        <v>194</v>
      </c>
      <c r="E263" s="375">
        <f>+SUM(E292:E294)</f>
        <v>0</v>
      </c>
      <c r="F263" s="499">
        <f>+SUM(F292:F294)</f>
        <v>1592</v>
      </c>
      <c r="G263" s="384">
        <v>0</v>
      </c>
      <c r="H263" s="43" t="s">
        <v>21</v>
      </c>
      <c r="I263" s="43" t="s">
        <v>21</v>
      </c>
    </row>
    <row r="264" spans="1:9" x14ac:dyDescent="0.25">
      <c r="A264" s="10"/>
      <c r="B264" s="11"/>
      <c r="C264" s="11"/>
      <c r="D264" s="190" t="s">
        <v>195</v>
      </c>
      <c r="E264" s="375">
        <f>+SUM(E296:E298)</f>
        <v>135</v>
      </c>
      <c r="F264" s="499">
        <f>+SUM(F296:F298)</f>
        <v>-39</v>
      </c>
      <c r="G264" s="384">
        <f>-78-331-17</f>
        <v>-426</v>
      </c>
      <c r="H264" s="43" t="s">
        <v>21</v>
      </c>
      <c r="I264" s="43" t="s">
        <v>21</v>
      </c>
    </row>
    <row r="265" spans="1:9" x14ac:dyDescent="0.25">
      <c r="A265" s="10"/>
      <c r="B265" s="11"/>
      <c r="C265" s="11"/>
      <c r="D265" s="190" t="s">
        <v>261</v>
      </c>
      <c r="E265" s="375">
        <f>+SUM(E300:E302)</f>
        <v>-46</v>
      </c>
      <c r="F265" s="376">
        <f>+SUM(F300:F302)</f>
        <v>222</v>
      </c>
      <c r="G265" s="384">
        <f>7-221-3</f>
        <v>-217</v>
      </c>
      <c r="H265" s="43" t="s">
        <v>21</v>
      </c>
      <c r="I265" s="43" t="s">
        <v>21</v>
      </c>
    </row>
    <row r="266" spans="1:9" x14ac:dyDescent="0.25">
      <c r="A266" s="10"/>
      <c r="B266" s="11"/>
      <c r="C266" s="11"/>
      <c r="D266" s="190" t="s">
        <v>262</v>
      </c>
      <c r="E266" s="375">
        <f>+SUM(E304:E306)</f>
        <v>-55</v>
      </c>
      <c r="F266" s="376">
        <f>+SUM(F304:F306)</f>
        <v>-25</v>
      </c>
      <c r="G266" s="384">
        <f>-29+193-12</f>
        <v>152</v>
      </c>
      <c r="H266" s="43" t="s">
        <v>21</v>
      </c>
      <c r="I266" s="43" t="s">
        <v>21</v>
      </c>
    </row>
    <row r="267" spans="1:9" x14ac:dyDescent="0.25">
      <c r="A267" s="10"/>
      <c r="B267" s="11"/>
      <c r="C267" s="11"/>
      <c r="D267" s="190" t="s">
        <v>264</v>
      </c>
      <c r="E267" s="375">
        <f>+SUM(E308:E310)</f>
        <v>-6</v>
      </c>
      <c r="F267" s="376">
        <f>+SUM(F308:F310)</f>
        <v>-11</v>
      </c>
      <c r="G267" s="384">
        <v>6</v>
      </c>
      <c r="H267" s="43" t="s">
        <v>21</v>
      </c>
      <c r="I267" s="43" t="s">
        <v>21</v>
      </c>
    </row>
    <row r="268" spans="1:9" x14ac:dyDescent="0.25">
      <c r="A268" s="10"/>
      <c r="B268" s="11"/>
      <c r="C268" s="11"/>
      <c r="D268" s="190" t="s">
        <v>265</v>
      </c>
      <c r="E268" s="375">
        <f>+SUM(E312:E314)</f>
        <v>-214</v>
      </c>
      <c r="F268" s="376">
        <f>+SUM(F312:F314)</f>
        <v>-153</v>
      </c>
      <c r="G268" s="384">
        <f>-27-96-12</f>
        <v>-135</v>
      </c>
      <c r="H268" s="43" t="s">
        <v>21</v>
      </c>
      <c r="I268" s="43" t="s">
        <v>21</v>
      </c>
    </row>
    <row r="269" spans="1:9" x14ac:dyDescent="0.25">
      <c r="A269" s="10"/>
      <c r="B269" s="11"/>
      <c r="C269" s="11"/>
      <c r="D269" s="190" t="s">
        <v>266</v>
      </c>
      <c r="E269" s="375">
        <f>+SUM(E316:E318)</f>
        <v>0</v>
      </c>
      <c r="F269" s="376">
        <f>+SUM(F316:F318)</f>
        <v>0</v>
      </c>
      <c r="G269" s="384"/>
      <c r="H269" s="43" t="s">
        <v>21</v>
      </c>
      <c r="I269" s="43" t="s">
        <v>21</v>
      </c>
    </row>
    <row r="270" spans="1:9" x14ac:dyDescent="0.25">
      <c r="A270" s="10"/>
      <c r="B270" s="11"/>
      <c r="C270" s="11"/>
      <c r="D270" s="190" t="s">
        <v>551</v>
      </c>
      <c r="E270" s="500">
        <f>+SUM(E320:E322)+SUM(E324:E326)</f>
        <v>15</v>
      </c>
      <c r="F270" s="501">
        <f t="shared" ref="F270:G270" si="8">+SUM(F320:F322)+SUM(F324:F326)</f>
        <v>21</v>
      </c>
      <c r="G270" s="501">
        <f t="shared" si="8"/>
        <v>16</v>
      </c>
      <c r="H270" s="43" t="s">
        <v>21</v>
      </c>
      <c r="I270" s="43" t="s">
        <v>21</v>
      </c>
    </row>
    <row r="271" spans="1:9" ht="15.75" thickBot="1" x14ac:dyDescent="0.3">
      <c r="A271" s="39"/>
      <c r="B271" s="32"/>
      <c r="C271" s="32"/>
      <c r="D271" s="210" t="s">
        <v>267</v>
      </c>
      <c r="E271" s="262">
        <f>1994+530+217</f>
        <v>2741</v>
      </c>
      <c r="F271" s="263">
        <f>223+2082+541</f>
        <v>2846</v>
      </c>
      <c r="G271" s="264">
        <f>158+963+69</f>
        <v>1190</v>
      </c>
      <c r="H271" s="43" t="s">
        <v>550</v>
      </c>
      <c r="I271" s="43" t="s">
        <v>509</v>
      </c>
    </row>
    <row r="272" spans="1:9" ht="15.75" thickTop="1" x14ac:dyDescent="0.25">
      <c r="A272" s="39"/>
      <c r="B272" s="32"/>
      <c r="C272" s="32"/>
      <c r="D272" s="210"/>
      <c r="E272" s="84" t="b">
        <f>SUM(E261:E270)=E271</f>
        <v>1</v>
      </c>
      <c r="F272" s="85" t="b">
        <f>SUM(F261:F270)=F271</f>
        <v>0</v>
      </c>
      <c r="G272" s="86" t="b">
        <f>SUM(G261:G270)=G271</f>
        <v>0</v>
      </c>
      <c r="H272" s="74" t="s">
        <v>548</v>
      </c>
      <c r="I272" s="480" t="s">
        <v>552</v>
      </c>
    </row>
    <row r="273" spans="1:9" x14ac:dyDescent="0.25">
      <c r="A273" s="39"/>
      <c r="B273" s="32"/>
      <c r="C273" s="32"/>
      <c r="D273" s="210"/>
      <c r="E273" s="84" t="b">
        <f>+E268=-E85</f>
        <v>1</v>
      </c>
      <c r="F273" s="85" t="b">
        <f>+F268=-F85</f>
        <v>0</v>
      </c>
      <c r="G273" s="86" t="b">
        <f>+G268=-G85</f>
        <v>0</v>
      </c>
      <c r="H273" s="480"/>
      <c r="I273" s="480" t="s">
        <v>553</v>
      </c>
    </row>
    <row r="274" spans="1:9" x14ac:dyDescent="0.25">
      <c r="A274" s="39"/>
      <c r="B274" s="32"/>
      <c r="C274" s="32"/>
      <c r="D274" s="210"/>
      <c r="E274" s="84" t="b">
        <f>E271=E29</f>
        <v>1</v>
      </c>
      <c r="F274" s="85" t="b">
        <f>F271=F29</f>
        <v>1</v>
      </c>
      <c r="G274" s="86" t="b">
        <f>G271=G29</f>
        <v>1</v>
      </c>
      <c r="H274" s="120"/>
      <c r="I274" s="120"/>
    </row>
    <row r="275" spans="1:9" x14ac:dyDescent="0.25">
      <c r="A275" s="10"/>
      <c r="B275" s="246"/>
      <c r="C275" s="246"/>
      <c r="D275" s="261"/>
      <c r="E275" s="171"/>
      <c r="F275" s="172"/>
      <c r="G275" s="173"/>
      <c r="H275" s="120"/>
      <c r="I275" s="120"/>
    </row>
    <row r="276" spans="1:9" x14ac:dyDescent="0.25">
      <c r="A276" s="10"/>
      <c r="B276" s="246"/>
      <c r="C276" s="246"/>
      <c r="D276" s="210" t="s">
        <v>268</v>
      </c>
      <c r="E276" s="273" t="s">
        <v>269</v>
      </c>
      <c r="F276" s="274" t="s">
        <v>269</v>
      </c>
      <c r="G276" s="275"/>
      <c r="H276" s="43"/>
      <c r="I276" s="43" t="s">
        <v>554</v>
      </c>
    </row>
    <row r="277" spans="1:9" x14ac:dyDescent="0.25">
      <c r="A277" s="10"/>
      <c r="B277" s="246"/>
      <c r="C277" s="246"/>
      <c r="D277" s="210" t="s">
        <v>270</v>
      </c>
      <c r="E277" s="502">
        <v>0.06</v>
      </c>
      <c r="F277" s="503">
        <v>0.06</v>
      </c>
      <c r="G277" s="504">
        <v>0.06</v>
      </c>
      <c r="H277" s="43" t="s">
        <v>555</v>
      </c>
      <c r="I277" s="43" t="s">
        <v>556</v>
      </c>
    </row>
    <row r="278" spans="1:9" x14ac:dyDescent="0.25">
      <c r="A278" s="10"/>
      <c r="B278" s="246"/>
      <c r="C278" s="246"/>
      <c r="D278" s="210" t="s">
        <v>272</v>
      </c>
      <c r="E278" s="273" t="s">
        <v>557</v>
      </c>
      <c r="F278" s="274" t="s">
        <v>557</v>
      </c>
      <c r="G278" s="275" t="s">
        <v>166</v>
      </c>
      <c r="H278" s="43" t="s">
        <v>555</v>
      </c>
      <c r="I278" s="43" t="s">
        <v>502</v>
      </c>
    </row>
    <row r="279" spans="1:9" x14ac:dyDescent="0.25">
      <c r="A279" s="10"/>
      <c r="B279" s="246"/>
      <c r="C279" s="246"/>
      <c r="D279" s="281" t="s">
        <v>273</v>
      </c>
      <c r="E279" s="273" t="s">
        <v>166</v>
      </c>
      <c r="F279" s="274" t="s">
        <v>166</v>
      </c>
      <c r="G279" s="275" t="s">
        <v>166</v>
      </c>
      <c r="H279" s="120"/>
      <c r="I279" s="120"/>
    </row>
    <row r="280" spans="1:9" x14ac:dyDescent="0.25">
      <c r="A280" s="10"/>
      <c r="B280" s="246"/>
      <c r="C280" s="246"/>
      <c r="D280" s="283" t="s">
        <v>276</v>
      </c>
      <c r="E280" s="273" t="s">
        <v>166</v>
      </c>
      <c r="F280" s="274" t="s">
        <v>166</v>
      </c>
      <c r="G280" s="275" t="s">
        <v>166</v>
      </c>
      <c r="H280" s="120"/>
      <c r="I280" s="120"/>
    </row>
    <row r="281" spans="1:9" x14ac:dyDescent="0.25">
      <c r="A281" s="10"/>
      <c r="B281" s="246"/>
      <c r="C281" s="246"/>
      <c r="D281" s="283" t="s">
        <v>277</v>
      </c>
      <c r="E281" s="273">
        <v>0</v>
      </c>
      <c r="F281" s="274">
        <v>0</v>
      </c>
      <c r="G281" s="275">
        <v>0</v>
      </c>
      <c r="H281" s="120"/>
      <c r="I281" s="120"/>
    </row>
    <row r="282" spans="1:9" x14ac:dyDescent="0.25">
      <c r="A282" s="10"/>
      <c r="B282" s="246"/>
      <c r="C282" s="246"/>
      <c r="D282" s="283"/>
      <c r="E282" s="293"/>
      <c r="F282" s="274"/>
      <c r="G282" s="275"/>
      <c r="H282" s="120"/>
      <c r="I282" s="120"/>
    </row>
    <row r="283" spans="1:9" hidden="1" outlineLevel="1" x14ac:dyDescent="0.25">
      <c r="A283" s="10"/>
      <c r="B283" s="246"/>
      <c r="C283" s="223" t="s">
        <v>278</v>
      </c>
      <c r="D283" s="224"/>
      <c r="E283" s="225"/>
      <c r="F283" s="226"/>
      <c r="G283" s="227"/>
      <c r="H283" s="228"/>
      <c r="I283" s="228"/>
    </row>
    <row r="284" spans="1:9" hidden="1" outlineLevel="1" x14ac:dyDescent="0.25">
      <c r="A284" s="10"/>
      <c r="B284" s="246"/>
      <c r="C284" s="246"/>
      <c r="D284" s="229" t="s">
        <v>206</v>
      </c>
      <c r="E284" s="482">
        <f>+F328</f>
        <v>225</v>
      </c>
      <c r="F284" s="483">
        <f t="shared" ref="F284:F286" si="9">G328</f>
        <v>158</v>
      </c>
      <c r="G284" s="484">
        <v>218</v>
      </c>
      <c r="H284" s="48"/>
      <c r="I284" s="48" t="s">
        <v>514</v>
      </c>
    </row>
    <row r="285" spans="1:9" hidden="1" outlineLevel="1" x14ac:dyDescent="0.25">
      <c r="A285" s="10"/>
      <c r="B285" s="246"/>
      <c r="C285" s="246"/>
      <c r="D285" s="229" t="s">
        <v>515</v>
      </c>
      <c r="E285" s="482">
        <f t="shared" ref="E285:E286" si="10">+F329</f>
        <v>2082</v>
      </c>
      <c r="F285" s="483">
        <f t="shared" si="9"/>
        <v>963</v>
      </c>
      <c r="G285" s="484">
        <v>1384</v>
      </c>
      <c r="H285" s="48"/>
      <c r="I285" s="48" t="s">
        <v>517</v>
      </c>
    </row>
    <row r="286" spans="1:9" hidden="1" outlineLevel="1" x14ac:dyDescent="0.25">
      <c r="A286" s="10"/>
      <c r="B286" s="246"/>
      <c r="C286" s="246"/>
      <c r="D286" s="229" t="s">
        <v>518</v>
      </c>
      <c r="E286" s="482">
        <f t="shared" si="10"/>
        <v>542</v>
      </c>
      <c r="F286" s="483">
        <f t="shared" si="9"/>
        <v>69</v>
      </c>
      <c r="G286" s="484">
        <v>110</v>
      </c>
      <c r="H286" s="48"/>
      <c r="I286" s="48" t="s">
        <v>520</v>
      </c>
    </row>
    <row r="287" spans="1:9" hidden="1" outlineLevel="1" x14ac:dyDescent="0.25">
      <c r="A287" s="10"/>
      <c r="B287" s="246"/>
      <c r="C287" s="246"/>
      <c r="D287" s="229"/>
      <c r="E287" s="482"/>
      <c r="F287" s="483"/>
      <c r="G287" s="484"/>
      <c r="H287" s="48"/>
      <c r="I287" s="48"/>
    </row>
    <row r="288" spans="1:9" hidden="1" outlineLevel="1" x14ac:dyDescent="0.25">
      <c r="A288" s="10"/>
      <c r="B288" s="246"/>
      <c r="C288" s="246"/>
      <c r="D288" s="234" t="s">
        <v>214</v>
      </c>
      <c r="E288" s="485">
        <v>31</v>
      </c>
      <c r="F288" s="486">
        <v>21</v>
      </c>
      <c r="G288" s="487">
        <v>44</v>
      </c>
      <c r="H288" s="48" t="s">
        <v>303</v>
      </c>
      <c r="I288" s="48" t="s">
        <v>514</v>
      </c>
    </row>
    <row r="289" spans="1:9" hidden="1" outlineLevel="1" x14ac:dyDescent="0.25">
      <c r="A289" s="10"/>
      <c r="B289" s="246"/>
      <c r="C289" s="246"/>
      <c r="D289" s="234" t="s">
        <v>521</v>
      </c>
      <c r="E289" s="485">
        <v>28</v>
      </c>
      <c r="F289" s="486">
        <v>27</v>
      </c>
      <c r="G289" s="487">
        <v>34</v>
      </c>
      <c r="H289" s="48" t="s">
        <v>516</v>
      </c>
      <c r="I289" s="48" t="s">
        <v>517</v>
      </c>
    </row>
    <row r="290" spans="1:9" hidden="1" outlineLevel="1" x14ac:dyDescent="0.25">
      <c r="A290" s="10"/>
      <c r="B290" s="246"/>
      <c r="C290" s="246"/>
      <c r="D290" s="234" t="s">
        <v>522</v>
      </c>
      <c r="E290" s="485">
        <v>4</v>
      </c>
      <c r="F290" s="486">
        <v>4</v>
      </c>
      <c r="G290" s="487">
        <v>2</v>
      </c>
      <c r="H290" s="48" t="s">
        <v>558</v>
      </c>
      <c r="I290" s="48" t="s">
        <v>520</v>
      </c>
    </row>
    <row r="291" spans="1:9" hidden="1" outlineLevel="1" x14ac:dyDescent="0.25">
      <c r="A291" s="10"/>
      <c r="B291" s="246"/>
      <c r="C291" s="246"/>
      <c r="D291" s="234"/>
      <c r="E291" s="485"/>
      <c r="F291" s="486"/>
      <c r="G291" s="487"/>
      <c r="H291" s="48"/>
      <c r="I291" s="48"/>
    </row>
    <row r="292" spans="1:9" hidden="1" outlineLevel="1" x14ac:dyDescent="0.25">
      <c r="A292" s="10"/>
      <c r="B292" s="246"/>
      <c r="C292" s="246"/>
      <c r="D292" s="234" t="s">
        <v>218</v>
      </c>
      <c r="E292" s="485">
        <v>0</v>
      </c>
      <c r="F292" s="486">
        <v>47</v>
      </c>
      <c r="G292" s="487">
        <v>0</v>
      </c>
      <c r="H292" s="48" t="s">
        <v>303</v>
      </c>
      <c r="I292" s="48" t="s">
        <v>514</v>
      </c>
    </row>
    <row r="293" spans="1:9" hidden="1" outlineLevel="1" x14ac:dyDescent="0.25">
      <c r="A293" s="10"/>
      <c r="B293" s="246"/>
      <c r="C293" s="246"/>
      <c r="D293" s="234" t="s">
        <v>523</v>
      </c>
      <c r="E293" s="485">
        <v>0</v>
      </c>
      <c r="F293" s="486">
        <v>1080</v>
      </c>
      <c r="G293" s="487">
        <v>0</v>
      </c>
      <c r="H293" s="48" t="s">
        <v>516</v>
      </c>
      <c r="I293" s="48" t="s">
        <v>517</v>
      </c>
    </row>
    <row r="294" spans="1:9" hidden="1" outlineLevel="1" x14ac:dyDescent="0.25">
      <c r="A294" s="10"/>
      <c r="B294" s="246"/>
      <c r="C294" s="246"/>
      <c r="D294" s="234" t="s">
        <v>524</v>
      </c>
      <c r="E294" s="485">
        <v>0</v>
      </c>
      <c r="F294" s="486">
        <v>465</v>
      </c>
      <c r="G294" s="487">
        <v>0</v>
      </c>
      <c r="H294" s="48" t="s">
        <v>558</v>
      </c>
      <c r="I294" s="48" t="s">
        <v>520</v>
      </c>
    </row>
    <row r="295" spans="1:9" hidden="1" outlineLevel="1" x14ac:dyDescent="0.25">
      <c r="A295" s="10"/>
      <c r="B295" s="246"/>
      <c r="C295" s="246"/>
      <c r="D295" s="234"/>
      <c r="E295" s="485"/>
      <c r="F295" s="486"/>
      <c r="G295" s="487"/>
      <c r="H295" s="48"/>
      <c r="I295" s="48"/>
    </row>
    <row r="296" spans="1:9" hidden="1" outlineLevel="1" x14ac:dyDescent="0.25">
      <c r="A296" s="10"/>
      <c r="B296" s="246"/>
      <c r="C296" s="246"/>
      <c r="D296" s="234" t="s">
        <v>221</v>
      </c>
      <c r="E296" s="485">
        <v>10</v>
      </c>
      <c r="F296" s="486">
        <v>4</v>
      </c>
      <c r="G296" s="487">
        <v>-78</v>
      </c>
      <c r="H296" s="48" t="s">
        <v>303</v>
      </c>
      <c r="I296" s="48" t="s">
        <v>514</v>
      </c>
    </row>
    <row r="297" spans="1:9" hidden="1" outlineLevel="1" x14ac:dyDescent="0.25">
      <c r="A297" s="10"/>
      <c r="B297" s="246"/>
      <c r="C297" s="246"/>
      <c r="D297" s="234" t="s">
        <v>525</v>
      </c>
      <c r="E297" s="485">
        <v>123</v>
      </c>
      <c r="F297" s="486">
        <v>-45</v>
      </c>
      <c r="G297" s="487">
        <v>-331</v>
      </c>
      <c r="H297" s="48" t="s">
        <v>516</v>
      </c>
      <c r="I297" s="48" t="s">
        <v>517</v>
      </c>
    </row>
    <row r="298" spans="1:9" hidden="1" outlineLevel="1" x14ac:dyDescent="0.25">
      <c r="A298" s="10"/>
      <c r="B298" s="246"/>
      <c r="C298" s="246"/>
      <c r="D298" s="234" t="s">
        <v>526</v>
      </c>
      <c r="E298" s="485">
        <v>2</v>
      </c>
      <c r="F298" s="486">
        <v>2</v>
      </c>
      <c r="G298" s="487">
        <v>-17</v>
      </c>
      <c r="H298" s="48" t="s">
        <v>558</v>
      </c>
      <c r="I298" s="48" t="s">
        <v>520</v>
      </c>
    </row>
    <row r="299" spans="1:9" hidden="1" outlineLevel="1" x14ac:dyDescent="0.25">
      <c r="A299" s="10"/>
      <c r="B299" s="246"/>
      <c r="C299" s="246"/>
      <c r="D299" s="234"/>
      <c r="E299" s="485"/>
      <c r="F299" s="486"/>
      <c r="G299" s="487"/>
      <c r="H299" s="48"/>
      <c r="I299" s="48"/>
    </row>
    <row r="300" spans="1:9" hidden="1" outlineLevel="1" x14ac:dyDescent="0.25">
      <c r="A300" s="10"/>
      <c r="B300" s="246"/>
      <c r="C300" s="246"/>
      <c r="D300" s="234" t="s">
        <v>559</v>
      </c>
      <c r="E300" s="485">
        <v>-32</v>
      </c>
      <c r="F300" s="486">
        <v>24</v>
      </c>
      <c r="G300" s="487">
        <v>7</v>
      </c>
      <c r="H300" s="48" t="s">
        <v>303</v>
      </c>
      <c r="I300" s="48" t="s">
        <v>514</v>
      </c>
    </row>
    <row r="301" spans="1:9" hidden="1" outlineLevel="1" x14ac:dyDescent="0.25">
      <c r="A301" s="10"/>
      <c r="B301" s="246"/>
      <c r="C301" s="246"/>
      <c r="D301" s="234" t="s">
        <v>560</v>
      </c>
      <c r="E301" s="485">
        <v>-65</v>
      </c>
      <c r="F301" s="486">
        <v>168</v>
      </c>
      <c r="G301" s="487">
        <v>-221</v>
      </c>
      <c r="H301" s="48" t="s">
        <v>516</v>
      </c>
      <c r="I301" s="48" t="s">
        <v>517</v>
      </c>
    </row>
    <row r="302" spans="1:9" hidden="1" outlineLevel="1" x14ac:dyDescent="0.25">
      <c r="A302" s="10"/>
      <c r="B302" s="246"/>
      <c r="C302" s="246"/>
      <c r="D302" s="234" t="s">
        <v>561</v>
      </c>
      <c r="E302" s="485">
        <v>51</v>
      </c>
      <c r="F302" s="486">
        <v>30</v>
      </c>
      <c r="G302" s="487">
        <v>-3</v>
      </c>
      <c r="H302" s="48" t="s">
        <v>558</v>
      </c>
      <c r="I302" s="48" t="s">
        <v>520</v>
      </c>
    </row>
    <row r="303" spans="1:9" hidden="1" outlineLevel="1" x14ac:dyDescent="0.25">
      <c r="A303" s="10"/>
      <c r="B303" s="246"/>
      <c r="C303" s="246"/>
      <c r="D303" s="234"/>
      <c r="E303" s="485"/>
      <c r="F303" s="486"/>
      <c r="G303" s="487"/>
      <c r="H303" s="48"/>
      <c r="I303" s="48"/>
    </row>
    <row r="304" spans="1:9" hidden="1" outlineLevel="1" x14ac:dyDescent="0.25">
      <c r="A304" s="10"/>
      <c r="B304" s="246"/>
      <c r="C304" s="246"/>
      <c r="D304" s="234" t="s">
        <v>562</v>
      </c>
      <c r="E304" s="485">
        <v>-2</v>
      </c>
      <c r="F304" s="486">
        <v>-6</v>
      </c>
      <c r="G304" s="487">
        <v>-29</v>
      </c>
      <c r="H304" s="48" t="s">
        <v>303</v>
      </c>
      <c r="I304" s="48"/>
    </row>
    <row r="305" spans="1:9" hidden="1" outlineLevel="1" x14ac:dyDescent="0.25">
      <c r="A305" s="10"/>
      <c r="B305" s="246"/>
      <c r="C305" s="246"/>
      <c r="D305" s="234" t="s">
        <v>563</v>
      </c>
      <c r="E305" s="485">
        <v>-24</v>
      </c>
      <c r="F305" s="486">
        <v>-8</v>
      </c>
      <c r="G305" s="487">
        <v>193</v>
      </c>
      <c r="H305" s="48" t="s">
        <v>516</v>
      </c>
      <c r="I305" s="48"/>
    </row>
    <row r="306" spans="1:9" hidden="1" outlineLevel="1" x14ac:dyDescent="0.25">
      <c r="A306" s="10"/>
      <c r="B306" s="246"/>
      <c r="C306" s="246"/>
      <c r="D306" s="234" t="s">
        <v>564</v>
      </c>
      <c r="E306" s="485">
        <v>-29</v>
      </c>
      <c r="F306" s="486">
        <v>-11</v>
      </c>
      <c r="G306" s="487">
        <v>-12</v>
      </c>
      <c r="H306" s="48" t="s">
        <v>558</v>
      </c>
      <c r="I306" s="48"/>
    </row>
    <row r="307" spans="1:9" hidden="1" outlineLevel="1" x14ac:dyDescent="0.25">
      <c r="A307" s="10"/>
      <c r="B307" s="246"/>
      <c r="C307" s="246"/>
      <c r="D307" s="234"/>
      <c r="E307" s="485"/>
      <c r="F307" s="486"/>
      <c r="G307" s="487"/>
      <c r="H307" s="48"/>
      <c r="I307" s="48"/>
    </row>
    <row r="308" spans="1:9" hidden="1" outlineLevel="1" x14ac:dyDescent="0.25">
      <c r="A308" s="10"/>
      <c r="B308" s="246"/>
      <c r="C308" s="246"/>
      <c r="D308" s="234" t="s">
        <v>283</v>
      </c>
      <c r="E308" s="485">
        <v>-6</v>
      </c>
      <c r="F308" s="486">
        <v>-11</v>
      </c>
      <c r="G308" s="487">
        <v>6</v>
      </c>
      <c r="H308" s="48" t="s">
        <v>303</v>
      </c>
      <c r="I308" s="48" t="s">
        <v>514</v>
      </c>
    </row>
    <row r="309" spans="1:9" hidden="1" outlineLevel="1" x14ac:dyDescent="0.25">
      <c r="A309" s="10"/>
      <c r="B309" s="246"/>
      <c r="C309" s="246"/>
      <c r="D309" s="234" t="s">
        <v>565</v>
      </c>
      <c r="E309" s="485">
        <v>0</v>
      </c>
      <c r="F309" s="486">
        <v>0</v>
      </c>
      <c r="G309" s="487">
        <v>0</v>
      </c>
      <c r="H309" s="48" t="s">
        <v>516</v>
      </c>
      <c r="I309" s="48" t="s">
        <v>517</v>
      </c>
    </row>
    <row r="310" spans="1:9" hidden="1" outlineLevel="1" x14ac:dyDescent="0.25">
      <c r="A310" s="10"/>
      <c r="B310" s="246"/>
      <c r="C310" s="246"/>
      <c r="D310" s="234" t="s">
        <v>566</v>
      </c>
      <c r="E310" s="485">
        <v>0</v>
      </c>
      <c r="F310" s="486">
        <v>0</v>
      </c>
      <c r="G310" s="487">
        <v>0</v>
      </c>
      <c r="H310" s="48" t="s">
        <v>558</v>
      </c>
      <c r="I310" s="48" t="s">
        <v>520</v>
      </c>
    </row>
    <row r="311" spans="1:9" hidden="1" outlineLevel="1" x14ac:dyDescent="0.25">
      <c r="A311" s="10"/>
      <c r="B311" s="246"/>
      <c r="C311" s="246"/>
      <c r="D311" s="234"/>
      <c r="E311" s="485"/>
      <c r="F311" s="486"/>
      <c r="G311" s="487"/>
      <c r="H311" s="48"/>
      <c r="I311" s="48"/>
    </row>
    <row r="312" spans="1:9" hidden="1" outlineLevel="1" x14ac:dyDescent="0.25">
      <c r="A312" s="10"/>
      <c r="B312" s="246"/>
      <c r="C312" s="246"/>
      <c r="D312" s="234" t="s">
        <v>286</v>
      </c>
      <c r="E312" s="485">
        <v>-23</v>
      </c>
      <c r="F312" s="486">
        <v>-33</v>
      </c>
      <c r="G312" s="487">
        <v>-27</v>
      </c>
      <c r="H312" s="48" t="s">
        <v>303</v>
      </c>
      <c r="I312" s="48"/>
    </row>
    <row r="313" spans="1:9" hidden="1" outlineLevel="1" x14ac:dyDescent="0.25">
      <c r="A313" s="10"/>
      <c r="B313" s="246"/>
      <c r="C313" s="246"/>
      <c r="D313" s="234" t="s">
        <v>567</v>
      </c>
      <c r="E313" s="485">
        <v>-151</v>
      </c>
      <c r="F313" s="486">
        <v>-103</v>
      </c>
      <c r="G313" s="487">
        <v>-96</v>
      </c>
      <c r="H313" s="48" t="s">
        <v>516</v>
      </c>
      <c r="I313" s="48"/>
    </row>
    <row r="314" spans="1:9" hidden="1" outlineLevel="1" x14ac:dyDescent="0.25">
      <c r="A314" s="10"/>
      <c r="B314" s="246"/>
      <c r="C314" s="246"/>
      <c r="D314" s="234" t="s">
        <v>568</v>
      </c>
      <c r="E314" s="485">
        <v>-40</v>
      </c>
      <c r="F314" s="486">
        <v>-17</v>
      </c>
      <c r="G314" s="487">
        <v>-12</v>
      </c>
      <c r="H314" s="48" t="s">
        <v>558</v>
      </c>
      <c r="I314" s="48"/>
    </row>
    <row r="315" spans="1:9" hidden="1" outlineLevel="1" x14ac:dyDescent="0.25">
      <c r="A315" s="10"/>
      <c r="B315" s="246"/>
      <c r="C315" s="246"/>
      <c r="D315" s="234"/>
      <c r="E315" s="485"/>
      <c r="F315" s="486"/>
      <c r="G315" s="487"/>
      <c r="H315" s="48"/>
      <c r="I315" s="48"/>
    </row>
    <row r="316" spans="1:9" hidden="1" outlineLevel="1" x14ac:dyDescent="0.25">
      <c r="A316" s="10"/>
      <c r="B316" s="246"/>
      <c r="C316" s="246"/>
      <c r="D316" s="234" t="s">
        <v>569</v>
      </c>
      <c r="E316" s="485">
        <v>0</v>
      </c>
      <c r="F316" s="486">
        <v>0</v>
      </c>
      <c r="G316" s="487">
        <v>0</v>
      </c>
      <c r="H316" s="48" t="s">
        <v>303</v>
      </c>
      <c r="I316" s="48" t="s">
        <v>514</v>
      </c>
    </row>
    <row r="317" spans="1:9" hidden="1" outlineLevel="1" x14ac:dyDescent="0.25">
      <c r="A317" s="10"/>
      <c r="B317" s="246"/>
      <c r="C317" s="246"/>
      <c r="D317" s="234" t="s">
        <v>570</v>
      </c>
      <c r="E317" s="485">
        <v>0</v>
      </c>
      <c r="F317" s="486">
        <v>0</v>
      </c>
      <c r="G317" s="487">
        <v>0</v>
      </c>
      <c r="H317" s="48" t="s">
        <v>516</v>
      </c>
      <c r="I317" s="48" t="s">
        <v>517</v>
      </c>
    </row>
    <row r="318" spans="1:9" hidden="1" outlineLevel="1" x14ac:dyDescent="0.25">
      <c r="A318" s="10"/>
      <c r="B318" s="246"/>
      <c r="C318" s="246"/>
      <c r="D318" s="234" t="s">
        <v>571</v>
      </c>
      <c r="E318" s="485">
        <v>0</v>
      </c>
      <c r="F318" s="486">
        <v>0</v>
      </c>
      <c r="G318" s="487">
        <v>0</v>
      </c>
      <c r="H318" s="48" t="s">
        <v>558</v>
      </c>
      <c r="I318" s="48" t="s">
        <v>520</v>
      </c>
    </row>
    <row r="319" spans="1:9" hidden="1" outlineLevel="1" x14ac:dyDescent="0.25">
      <c r="A319" s="10"/>
      <c r="B319" s="246"/>
      <c r="C319" s="246"/>
      <c r="D319" s="234"/>
      <c r="E319" s="485"/>
      <c r="F319" s="486"/>
      <c r="G319" s="487"/>
      <c r="H319" s="48"/>
      <c r="I319" s="48"/>
    </row>
    <row r="320" spans="1:9" hidden="1" outlineLevel="1" x14ac:dyDescent="0.25">
      <c r="A320" s="10"/>
      <c r="B320" s="246"/>
      <c r="C320" s="246"/>
      <c r="D320" s="234" t="s">
        <v>572</v>
      </c>
      <c r="E320" s="485">
        <v>-3</v>
      </c>
      <c r="F320" s="486">
        <v>0</v>
      </c>
      <c r="G320" s="487">
        <v>16</v>
      </c>
      <c r="H320" s="48" t="s">
        <v>303</v>
      </c>
      <c r="I320" s="48" t="s">
        <v>514</v>
      </c>
    </row>
    <row r="321" spans="1:9" hidden="1" outlineLevel="1" x14ac:dyDescent="0.25">
      <c r="A321" s="10"/>
      <c r="B321" s="246"/>
      <c r="C321" s="246"/>
      <c r="D321" s="234" t="s">
        <v>573</v>
      </c>
      <c r="E321" s="485">
        <v>0</v>
      </c>
      <c r="F321" s="486">
        <v>0</v>
      </c>
      <c r="G321" s="487">
        <v>0</v>
      </c>
      <c r="H321" s="48" t="s">
        <v>516</v>
      </c>
      <c r="I321" s="48" t="s">
        <v>517</v>
      </c>
    </row>
    <row r="322" spans="1:9" hidden="1" outlineLevel="1" x14ac:dyDescent="0.25">
      <c r="A322" s="10"/>
      <c r="B322" s="246"/>
      <c r="C322" s="246"/>
      <c r="D322" s="234" t="s">
        <v>574</v>
      </c>
      <c r="E322" s="485">
        <v>0</v>
      </c>
      <c r="F322" s="486">
        <v>0</v>
      </c>
      <c r="G322" s="487">
        <v>0</v>
      </c>
      <c r="H322" s="48" t="s">
        <v>558</v>
      </c>
      <c r="I322" s="48" t="s">
        <v>520</v>
      </c>
    </row>
    <row r="323" spans="1:9" hidden="1" outlineLevel="1" x14ac:dyDescent="0.25">
      <c r="A323" s="10"/>
      <c r="B323" s="246"/>
      <c r="C323" s="246"/>
      <c r="D323" s="234"/>
      <c r="E323" s="485"/>
      <c r="F323" s="486"/>
      <c r="G323" s="487"/>
      <c r="H323" s="48"/>
      <c r="I323" s="48"/>
    </row>
    <row r="324" spans="1:9" hidden="1" outlineLevel="1" x14ac:dyDescent="0.25">
      <c r="A324" s="10"/>
      <c r="B324" s="246"/>
      <c r="C324" s="246"/>
      <c r="D324" s="234" t="s">
        <v>575</v>
      </c>
      <c r="E324" s="485">
        <v>18</v>
      </c>
      <c r="F324" s="486">
        <v>21</v>
      </c>
      <c r="G324" s="487"/>
      <c r="H324" s="48" t="s">
        <v>303</v>
      </c>
      <c r="I324" s="48"/>
    </row>
    <row r="325" spans="1:9" hidden="1" outlineLevel="1" x14ac:dyDescent="0.25">
      <c r="A325" s="10"/>
      <c r="B325" s="246"/>
      <c r="C325" s="246"/>
      <c r="D325" s="234" t="s">
        <v>576</v>
      </c>
      <c r="E325" s="485">
        <v>0</v>
      </c>
      <c r="F325" s="486">
        <v>0</v>
      </c>
      <c r="G325" s="487"/>
      <c r="H325" s="48" t="s">
        <v>516</v>
      </c>
      <c r="I325" s="48"/>
    </row>
    <row r="326" spans="1:9" hidden="1" outlineLevel="1" x14ac:dyDescent="0.25">
      <c r="A326" s="10"/>
      <c r="B326" s="246"/>
      <c r="C326" s="246"/>
      <c r="D326" s="234" t="s">
        <v>577</v>
      </c>
      <c r="E326" s="485">
        <v>0</v>
      </c>
      <c r="F326" s="486">
        <v>0</v>
      </c>
      <c r="G326" s="487"/>
      <c r="H326" s="48" t="s">
        <v>558</v>
      </c>
      <c r="I326" s="48"/>
    </row>
    <row r="327" spans="1:9" hidden="1" outlineLevel="1" x14ac:dyDescent="0.25">
      <c r="A327" s="10"/>
      <c r="B327" s="246"/>
      <c r="C327" s="246"/>
      <c r="D327" s="234"/>
      <c r="E327" s="485"/>
      <c r="F327" s="486"/>
      <c r="G327" s="487"/>
      <c r="H327" s="48"/>
      <c r="I327" s="48"/>
    </row>
    <row r="328" spans="1:9" ht="15.75" hidden="1" outlineLevel="1" thickBot="1" x14ac:dyDescent="0.3">
      <c r="A328" s="10"/>
      <c r="B328" s="246"/>
      <c r="C328" s="246"/>
      <c r="D328" s="229" t="s">
        <v>239</v>
      </c>
      <c r="E328" s="489">
        <f t="shared" ref="E328:F330" si="11">+SUM(E284,E288,E292,E296,E300,E304,E308,E312,E316,E320,E324)</f>
        <v>218</v>
      </c>
      <c r="F328" s="490">
        <f t="shared" si="11"/>
        <v>225</v>
      </c>
      <c r="G328" s="491">
        <v>158</v>
      </c>
      <c r="H328" s="505"/>
      <c r="I328" s="242" t="s">
        <v>540</v>
      </c>
    </row>
    <row r="329" spans="1:9" ht="15.75" hidden="1" outlineLevel="1" thickBot="1" x14ac:dyDescent="0.3">
      <c r="A329" s="10"/>
      <c r="B329" s="246"/>
      <c r="C329" s="246"/>
      <c r="D329" s="229" t="s">
        <v>541</v>
      </c>
      <c r="E329" s="506">
        <f t="shared" si="11"/>
        <v>1993</v>
      </c>
      <c r="F329" s="507">
        <f t="shared" si="11"/>
        <v>2082</v>
      </c>
      <c r="G329" s="508">
        <f t="shared" ref="G329" si="12">SUM(G321,G317,G313,G309,G305,G301,G297,G293,G289,G285)</f>
        <v>963</v>
      </c>
      <c r="H329" s="505"/>
      <c r="I329" s="242"/>
    </row>
    <row r="330" spans="1:9" ht="15.75" hidden="1" outlineLevel="1" thickBot="1" x14ac:dyDescent="0.3">
      <c r="A330" s="10"/>
      <c r="B330" s="246"/>
      <c r="C330" s="246"/>
      <c r="D330" s="229" t="s">
        <v>543</v>
      </c>
      <c r="E330" s="489">
        <f t="shared" si="11"/>
        <v>530</v>
      </c>
      <c r="F330" s="490">
        <f t="shared" si="11"/>
        <v>542</v>
      </c>
      <c r="G330" s="491">
        <v>69</v>
      </c>
      <c r="H330" s="505"/>
      <c r="I330" s="242" t="s">
        <v>578</v>
      </c>
    </row>
    <row r="331" spans="1:9" hidden="1" outlineLevel="1" x14ac:dyDescent="0.25">
      <c r="A331" s="10"/>
      <c r="B331" s="246"/>
      <c r="C331" s="246"/>
      <c r="D331" s="283"/>
      <c r="E331" s="273"/>
      <c r="F331" s="274"/>
      <c r="G331" s="275"/>
      <c r="H331" s="120"/>
      <c r="I331" s="120"/>
    </row>
    <row r="332" spans="1:9" collapsed="1" x14ac:dyDescent="0.25">
      <c r="A332" s="10"/>
      <c r="B332" s="246"/>
      <c r="C332" s="246"/>
      <c r="D332" s="283"/>
      <c r="E332" s="273"/>
      <c r="F332" s="274"/>
      <c r="G332" s="275"/>
      <c r="H332" s="120"/>
      <c r="I332" s="120"/>
    </row>
    <row r="333" spans="1:9" x14ac:dyDescent="0.25">
      <c r="A333" s="10"/>
      <c r="B333" s="11"/>
      <c r="C333" s="104" t="s">
        <v>292</v>
      </c>
      <c r="D333" s="105"/>
      <c r="E333" s="106"/>
      <c r="F333" s="107"/>
      <c r="G333" s="108"/>
      <c r="H333" s="109"/>
      <c r="I333" s="109"/>
    </row>
    <row r="334" spans="1:9" x14ac:dyDescent="0.25">
      <c r="A334" s="10"/>
      <c r="B334" s="11"/>
      <c r="C334" s="11"/>
      <c r="D334" s="190" t="s">
        <v>189</v>
      </c>
      <c r="E334" s="153">
        <f>+F341</f>
        <v>324</v>
      </c>
      <c r="F334" s="154">
        <f>20+210+101</f>
        <v>331</v>
      </c>
      <c r="G334" s="191">
        <f>84+29+142</f>
        <v>255</v>
      </c>
      <c r="H334" s="43"/>
      <c r="I334" s="43" t="s">
        <v>579</v>
      </c>
    </row>
    <row r="335" spans="1:9" x14ac:dyDescent="0.25">
      <c r="A335" s="10"/>
      <c r="B335" s="11"/>
      <c r="C335" s="11"/>
      <c r="D335" s="190" t="s">
        <v>294</v>
      </c>
      <c r="E335" s="153">
        <f>+SUM(E336:E338)</f>
        <v>-36</v>
      </c>
      <c r="F335" s="154">
        <f>+SUM(F336:F338)</f>
        <v>-46</v>
      </c>
      <c r="G335" s="191">
        <f>+SUM(G336:G338)</f>
        <v>153</v>
      </c>
      <c r="H335" s="43" t="s">
        <v>453</v>
      </c>
      <c r="I335" s="43"/>
    </row>
    <row r="336" spans="1:9" x14ac:dyDescent="0.25">
      <c r="A336" s="10"/>
      <c r="B336" s="11"/>
      <c r="C336" s="11"/>
      <c r="D336" s="121" t="s">
        <v>295</v>
      </c>
      <c r="E336" s="122">
        <f>-E87</f>
        <v>49</v>
      </c>
      <c r="F336" s="123">
        <f>-F87</f>
        <v>29</v>
      </c>
      <c r="G336" s="124">
        <f>-G87</f>
        <v>57</v>
      </c>
      <c r="H336" s="43" t="s">
        <v>453</v>
      </c>
      <c r="I336" s="43" t="s">
        <v>509</v>
      </c>
    </row>
    <row r="337" spans="1:10" x14ac:dyDescent="0.25">
      <c r="A337" s="10"/>
      <c r="B337" s="11"/>
      <c r="C337" s="11"/>
      <c r="D337" s="121" t="s">
        <v>296</v>
      </c>
      <c r="E337" s="122">
        <f>-SUM(E89:E91)</f>
        <v>-55</v>
      </c>
      <c r="F337" s="123">
        <f>-SUM(F89:F91)</f>
        <v>-68</v>
      </c>
      <c r="G337" s="124">
        <f>-SUM(G89:G91)</f>
        <v>-177</v>
      </c>
      <c r="H337" s="43" t="s">
        <v>453</v>
      </c>
      <c r="I337" s="43" t="s">
        <v>579</v>
      </c>
    </row>
    <row r="338" spans="1:10" x14ac:dyDescent="0.25">
      <c r="A338" s="10"/>
      <c r="B338" s="11"/>
      <c r="C338" s="11"/>
      <c r="D338" s="121" t="s">
        <v>297</v>
      </c>
      <c r="E338" s="122">
        <f>-E88</f>
        <v>-30</v>
      </c>
      <c r="F338" s="123">
        <f>-F88</f>
        <v>-7</v>
      </c>
      <c r="G338" s="124">
        <f>-G88</f>
        <v>273</v>
      </c>
      <c r="H338" s="43" t="s">
        <v>453</v>
      </c>
      <c r="I338" s="43" t="s">
        <v>580</v>
      </c>
    </row>
    <row r="339" spans="1:10" x14ac:dyDescent="0.25">
      <c r="A339" s="10"/>
      <c r="B339" s="11"/>
      <c r="C339" s="11"/>
      <c r="D339" s="190" t="s">
        <v>195</v>
      </c>
      <c r="E339" s="153">
        <f>+SUM(E350,E361)</f>
        <v>3</v>
      </c>
      <c r="F339" s="154">
        <f>1-6</f>
        <v>-5</v>
      </c>
      <c r="G339" s="191">
        <v>-78</v>
      </c>
      <c r="H339" s="43" t="s">
        <v>581</v>
      </c>
      <c r="I339" s="43" t="s">
        <v>579</v>
      </c>
    </row>
    <row r="340" spans="1:10" x14ac:dyDescent="0.25">
      <c r="A340" s="10"/>
      <c r="B340" s="11"/>
      <c r="C340" s="11"/>
      <c r="D340" s="190" t="s">
        <v>129</v>
      </c>
      <c r="E340" s="294">
        <f>+SUM(E351,E362)</f>
        <v>-1</v>
      </c>
      <c r="F340" s="295">
        <v>0</v>
      </c>
      <c r="G340" s="198">
        <v>0</v>
      </c>
      <c r="H340" s="43" t="s">
        <v>581</v>
      </c>
      <c r="I340" s="43"/>
    </row>
    <row r="341" spans="1:10" ht="15.75" thickBot="1" x14ac:dyDescent="0.3">
      <c r="A341" s="10"/>
      <c r="B341" s="11"/>
      <c r="C341" s="11"/>
      <c r="D341" s="190" t="s">
        <v>298</v>
      </c>
      <c r="E341" s="262">
        <f>+SUM(E352,E363)</f>
        <v>290</v>
      </c>
      <c r="F341" s="263">
        <f>29+220+75</f>
        <v>324</v>
      </c>
      <c r="G341" s="264">
        <f>20+210+101</f>
        <v>331</v>
      </c>
      <c r="H341" s="43" t="s">
        <v>581</v>
      </c>
      <c r="I341" s="43" t="s">
        <v>582</v>
      </c>
    </row>
    <row r="342" spans="1:10" ht="15.75" thickTop="1" x14ac:dyDescent="0.25">
      <c r="A342" s="10"/>
      <c r="B342" s="445"/>
      <c r="C342" s="11"/>
      <c r="D342" s="348"/>
      <c r="E342" s="84" t="b">
        <f>SUM(E334:E335,E339:E340)=E341</f>
        <v>1</v>
      </c>
      <c r="F342" s="85" t="b">
        <f>SUM(F334:F335,F339:F340)=F341</f>
        <v>0</v>
      </c>
      <c r="G342" s="86" t="b">
        <f>SUM(G334:G335,G339:G340)=G341</f>
        <v>0</v>
      </c>
      <c r="H342" s="480" t="s">
        <v>583</v>
      </c>
      <c r="I342" s="480" t="s">
        <v>584</v>
      </c>
    </row>
    <row r="343" spans="1:10" x14ac:dyDescent="0.25">
      <c r="A343" s="10"/>
      <c r="B343" s="445"/>
      <c r="C343" s="11"/>
      <c r="D343" s="348"/>
      <c r="E343" s="84" t="b">
        <f>(E335-E92)=-E86</f>
        <v>1</v>
      </c>
      <c r="F343" s="85" t="b">
        <f>(F335-F92)=-F86</f>
        <v>1</v>
      </c>
      <c r="G343" s="86" t="b">
        <f>(G335-G92)=-G86</f>
        <v>1</v>
      </c>
      <c r="H343" s="120"/>
      <c r="I343" s="120"/>
    </row>
    <row r="344" spans="1:10" outlineLevel="1" x14ac:dyDescent="0.25">
      <c r="A344" s="10"/>
      <c r="B344" s="11"/>
      <c r="C344" s="11"/>
      <c r="D344" s="297" t="s">
        <v>300</v>
      </c>
      <c r="E344" s="509"/>
      <c r="F344" s="510"/>
      <c r="G344" s="300"/>
      <c r="H344" s="511"/>
      <c r="I344" s="301"/>
      <c r="J344" s="228"/>
    </row>
    <row r="345" spans="1:10" outlineLevel="1" x14ac:dyDescent="0.25">
      <c r="A345" s="10"/>
      <c r="B345" s="11"/>
      <c r="C345" s="11"/>
      <c r="D345" s="302" t="s">
        <v>189</v>
      </c>
      <c r="E345" s="303">
        <f>220+75</f>
        <v>295</v>
      </c>
      <c r="F345" s="304">
        <f>G352</f>
        <v>311</v>
      </c>
      <c r="G345" s="305">
        <v>171</v>
      </c>
      <c r="H345" s="43" t="s">
        <v>585</v>
      </c>
      <c r="I345" s="43" t="s">
        <v>579</v>
      </c>
    </row>
    <row r="346" spans="1:10" outlineLevel="1" x14ac:dyDescent="0.25">
      <c r="A346" s="10"/>
      <c r="B346" s="11"/>
      <c r="C346" s="11"/>
      <c r="D346" s="302" t="s">
        <v>294</v>
      </c>
      <c r="E346" s="303">
        <f>+SUM(E347:E349)</f>
        <v>-30</v>
      </c>
      <c r="F346" s="304">
        <f>+SUM(F347:F349)</f>
        <v>-12</v>
      </c>
      <c r="G346" s="305">
        <f>+SUM(G347:G349)</f>
        <v>0</v>
      </c>
      <c r="H346" s="43" t="s">
        <v>585</v>
      </c>
      <c r="I346" s="43"/>
    </row>
    <row r="347" spans="1:10" outlineLevel="1" x14ac:dyDescent="0.25">
      <c r="A347" s="10"/>
      <c r="B347" s="11"/>
      <c r="C347" s="11"/>
      <c r="D347" s="306" t="s">
        <v>295</v>
      </c>
      <c r="E347" s="307">
        <f>-15-12</f>
        <v>-27</v>
      </c>
      <c r="F347" s="308">
        <f>-32-5</f>
        <v>-37</v>
      </c>
      <c r="G347" s="309"/>
      <c r="H347" s="43" t="s">
        <v>585</v>
      </c>
      <c r="I347" s="43" t="s">
        <v>509</v>
      </c>
    </row>
    <row r="348" spans="1:10" outlineLevel="1" x14ac:dyDescent="0.25">
      <c r="A348" s="10"/>
      <c r="B348" s="11"/>
      <c r="C348" s="11"/>
      <c r="D348" s="306" t="s">
        <v>296</v>
      </c>
      <c r="E348" s="307">
        <f>-9+6</f>
        <v>-3</v>
      </c>
      <c r="F348" s="308">
        <f>41-16</f>
        <v>25</v>
      </c>
      <c r="G348" s="309"/>
      <c r="H348" s="43" t="s">
        <v>585</v>
      </c>
      <c r="I348" s="43" t="s">
        <v>579</v>
      </c>
    </row>
    <row r="349" spans="1:10" outlineLevel="1" x14ac:dyDescent="0.25">
      <c r="A349" s="10"/>
      <c r="B349" s="11"/>
      <c r="C349" s="11"/>
      <c r="D349" s="306" t="s">
        <v>297</v>
      </c>
      <c r="E349" s="307"/>
      <c r="F349" s="308"/>
      <c r="G349" s="309"/>
      <c r="H349" s="43" t="s">
        <v>585</v>
      </c>
      <c r="I349" s="43" t="s">
        <v>580</v>
      </c>
    </row>
    <row r="350" spans="1:10" outlineLevel="1" x14ac:dyDescent="0.25">
      <c r="A350" s="10"/>
      <c r="B350" s="11"/>
      <c r="C350" s="11"/>
      <c r="D350" s="302" t="s">
        <v>195</v>
      </c>
      <c r="E350" s="303">
        <v>2</v>
      </c>
      <c r="F350" s="304">
        <v>-5</v>
      </c>
      <c r="G350" s="305"/>
      <c r="H350" s="43" t="s">
        <v>585</v>
      </c>
      <c r="I350" s="43" t="s">
        <v>579</v>
      </c>
    </row>
    <row r="351" spans="1:10" outlineLevel="1" x14ac:dyDescent="0.25">
      <c r="A351" s="10"/>
      <c r="B351" s="11"/>
      <c r="C351" s="11"/>
      <c r="D351" s="302" t="s">
        <v>129</v>
      </c>
      <c r="E351" s="310">
        <v>-1</v>
      </c>
      <c r="F351" s="311">
        <v>0</v>
      </c>
      <c r="G351" s="312"/>
      <c r="H351" s="43" t="s">
        <v>585</v>
      </c>
      <c r="I351" s="43"/>
    </row>
    <row r="352" spans="1:10" ht="15.75" outlineLevel="1" thickBot="1" x14ac:dyDescent="0.3">
      <c r="A352" s="10"/>
      <c r="B352" s="11"/>
      <c r="C352" s="11"/>
      <c r="D352" s="302" t="s">
        <v>298</v>
      </c>
      <c r="E352" s="512">
        <f>SUM(E350:E351,E345:E346)</f>
        <v>266</v>
      </c>
      <c r="F352" s="513">
        <f>220+75</f>
        <v>295</v>
      </c>
      <c r="G352" s="514">
        <f>210+101</f>
        <v>311</v>
      </c>
      <c r="H352" s="515" t="s">
        <v>586</v>
      </c>
      <c r="I352" s="43" t="s">
        <v>582</v>
      </c>
    </row>
    <row r="353" spans="1:9" ht="15.75" outlineLevel="1" thickTop="1" x14ac:dyDescent="0.25">
      <c r="A353" s="10"/>
      <c r="B353" s="11"/>
      <c r="C353" s="11"/>
      <c r="D353" s="302"/>
      <c r="E353" s="516"/>
      <c r="F353" s="517"/>
      <c r="G353" s="518"/>
      <c r="H353" s="319"/>
      <c r="I353" s="43"/>
    </row>
    <row r="354" spans="1:9" outlineLevel="1" x14ac:dyDescent="0.25">
      <c r="A354" s="10"/>
      <c r="B354" s="11"/>
      <c r="C354" s="11"/>
      <c r="D354" s="297" t="s">
        <v>306</v>
      </c>
      <c r="E354" s="509"/>
      <c r="F354" s="510"/>
      <c r="G354" s="300"/>
      <c r="H354" s="511"/>
      <c r="I354" s="301"/>
    </row>
    <row r="355" spans="1:9" outlineLevel="1" x14ac:dyDescent="0.25">
      <c r="A355" s="10"/>
      <c r="B355" s="11"/>
      <c r="C355" s="11"/>
      <c r="D355" s="302" t="s">
        <v>189</v>
      </c>
      <c r="E355" s="303">
        <f>F363</f>
        <v>29</v>
      </c>
      <c r="F355" s="304">
        <v>29</v>
      </c>
      <c r="G355" s="305">
        <v>84</v>
      </c>
      <c r="H355" s="519" t="s">
        <v>301</v>
      </c>
      <c r="I355" s="43"/>
    </row>
    <row r="356" spans="1:9" outlineLevel="1" x14ac:dyDescent="0.25">
      <c r="A356" s="10"/>
      <c r="B356" s="11"/>
      <c r="C356" s="11"/>
      <c r="D356" s="302" t="s">
        <v>308</v>
      </c>
      <c r="E356" s="303">
        <f>+SUM(E357:E359)</f>
        <v>-6</v>
      </c>
      <c r="F356" s="304">
        <f>+SUM(F357:F359)</f>
        <v>0</v>
      </c>
      <c r="G356" s="305">
        <f>+SUM(G357:G359)</f>
        <v>-65</v>
      </c>
      <c r="H356" s="519"/>
      <c r="I356" s="43"/>
    </row>
    <row r="357" spans="1:9" outlineLevel="1" x14ac:dyDescent="0.25">
      <c r="A357" s="10"/>
      <c r="B357" s="11"/>
      <c r="C357" s="11"/>
      <c r="D357" s="306" t="s">
        <v>295</v>
      </c>
      <c r="E357" s="307">
        <v>-28</v>
      </c>
      <c r="F357" s="308">
        <v>-31</v>
      </c>
      <c r="G357" s="309">
        <v>-80</v>
      </c>
      <c r="H357" s="519" t="s">
        <v>301</v>
      </c>
      <c r="I357" s="43"/>
    </row>
    <row r="358" spans="1:9" outlineLevel="1" x14ac:dyDescent="0.25">
      <c r="A358" s="10"/>
      <c r="B358" s="11"/>
      <c r="C358" s="11"/>
      <c r="D358" s="306" t="s">
        <v>296</v>
      </c>
      <c r="E358" s="307">
        <v>22</v>
      </c>
      <c r="F358" s="308">
        <v>31</v>
      </c>
      <c r="G358" s="309">
        <v>15</v>
      </c>
      <c r="H358" s="519" t="s">
        <v>301</v>
      </c>
      <c r="I358" s="43"/>
    </row>
    <row r="359" spans="1:9" outlineLevel="1" x14ac:dyDescent="0.25">
      <c r="A359" s="10"/>
      <c r="B359" s="11"/>
      <c r="C359" s="11"/>
      <c r="D359" s="306" t="s">
        <v>297</v>
      </c>
      <c r="E359" s="307"/>
      <c r="F359" s="308"/>
      <c r="G359" s="309"/>
      <c r="H359" s="519" t="s">
        <v>301</v>
      </c>
      <c r="I359" s="43"/>
    </row>
    <row r="360" spans="1:9" outlineLevel="1" x14ac:dyDescent="0.25">
      <c r="A360" s="10"/>
      <c r="B360" s="11"/>
      <c r="C360" s="11"/>
      <c r="D360" s="302" t="s">
        <v>311</v>
      </c>
      <c r="E360" s="303">
        <v>0</v>
      </c>
      <c r="F360" s="304"/>
      <c r="G360" s="305"/>
      <c r="H360" s="519"/>
      <c r="I360" s="66"/>
    </row>
    <row r="361" spans="1:9" outlineLevel="1" x14ac:dyDescent="0.25">
      <c r="A361" s="10"/>
      <c r="B361" s="11"/>
      <c r="C361" s="11"/>
      <c r="D361" s="302" t="s">
        <v>195</v>
      </c>
      <c r="E361" s="303">
        <v>1</v>
      </c>
      <c r="F361" s="304"/>
      <c r="G361" s="305"/>
      <c r="H361" s="519"/>
      <c r="I361" s="43"/>
    </row>
    <row r="362" spans="1:9" outlineLevel="1" x14ac:dyDescent="0.25">
      <c r="A362" s="10"/>
      <c r="B362" s="11"/>
      <c r="C362" s="11"/>
      <c r="D362" s="302" t="s">
        <v>129</v>
      </c>
      <c r="E362" s="310">
        <v>0</v>
      </c>
      <c r="F362" s="311"/>
      <c r="G362" s="312"/>
      <c r="H362" s="519"/>
      <c r="I362" s="43"/>
    </row>
    <row r="363" spans="1:9" ht="15.75" outlineLevel="1" thickBot="1" x14ac:dyDescent="0.3">
      <c r="A363" s="10"/>
      <c r="B363" s="11"/>
      <c r="C363" s="11"/>
      <c r="D363" s="302" t="s">
        <v>298</v>
      </c>
      <c r="E363" s="512">
        <f>SUM(E360:E362,E355:E356)</f>
        <v>24</v>
      </c>
      <c r="F363" s="513">
        <v>29</v>
      </c>
      <c r="G363" s="514">
        <f>SUM(G360:G362,G355:G356)</f>
        <v>19</v>
      </c>
      <c r="H363" s="515" t="s">
        <v>586</v>
      </c>
      <c r="I363" s="43"/>
    </row>
    <row r="364" spans="1:9" ht="15.75" thickTop="1" x14ac:dyDescent="0.25">
      <c r="A364" s="10"/>
      <c r="B364" s="11"/>
      <c r="C364" s="11"/>
      <c r="D364" s="190"/>
      <c r="E364" s="84"/>
      <c r="F364" s="85"/>
      <c r="G364" s="86"/>
      <c r="H364" s="120"/>
      <c r="I364" s="120"/>
    </row>
    <row r="365" spans="1:9" ht="14.65" customHeight="1" x14ac:dyDescent="0.25">
      <c r="A365" s="10"/>
      <c r="B365" s="11"/>
      <c r="C365" s="11"/>
      <c r="D365" s="33"/>
      <c r="E365" s="171"/>
      <c r="F365" s="172"/>
      <c r="G365" s="173"/>
      <c r="H365" s="120"/>
      <c r="I365" s="120"/>
    </row>
    <row r="366" spans="1:9" ht="14.65" customHeight="1" x14ac:dyDescent="0.25">
      <c r="A366" s="10"/>
      <c r="B366" s="11"/>
      <c r="C366" s="104" t="s">
        <v>313</v>
      </c>
      <c r="D366" s="105"/>
      <c r="E366" s="106"/>
      <c r="F366" s="107"/>
      <c r="G366" s="108"/>
      <c r="H366" s="109"/>
      <c r="I366" s="109"/>
    </row>
    <row r="367" spans="1:9" ht="14.65" customHeight="1" x14ac:dyDescent="0.25">
      <c r="A367" s="10"/>
      <c r="B367" s="11"/>
      <c r="C367" s="11"/>
      <c r="D367" s="190" t="s">
        <v>189</v>
      </c>
      <c r="E367" s="153">
        <v>0</v>
      </c>
      <c r="F367" s="154">
        <v>9</v>
      </c>
      <c r="G367" s="191">
        <v>2</v>
      </c>
      <c r="H367" s="43" t="s">
        <v>587</v>
      </c>
      <c r="I367" s="43" t="s">
        <v>588</v>
      </c>
    </row>
    <row r="368" spans="1:9" ht="14.65" customHeight="1" x14ac:dyDescent="0.25">
      <c r="A368" s="10"/>
      <c r="B368" s="11"/>
      <c r="C368" s="11"/>
      <c r="D368" s="190" t="s">
        <v>294</v>
      </c>
      <c r="E368" s="153">
        <v>0</v>
      </c>
      <c r="F368" s="154">
        <f>SUM(F369:F371)</f>
        <v>-6</v>
      </c>
      <c r="G368" s="191">
        <f>SUM(G369:G371)</f>
        <v>7</v>
      </c>
      <c r="H368" s="43" t="s">
        <v>587</v>
      </c>
      <c r="I368" s="120"/>
    </row>
    <row r="369" spans="1:9" ht="14.65" customHeight="1" x14ac:dyDescent="0.25">
      <c r="A369" s="10"/>
      <c r="B369" s="11"/>
      <c r="C369" s="11"/>
      <c r="D369" s="121" t="s">
        <v>295</v>
      </c>
      <c r="E369" s="122">
        <v>0</v>
      </c>
      <c r="F369" s="123">
        <v>0</v>
      </c>
      <c r="G369" s="124">
        <v>0</v>
      </c>
      <c r="H369" s="43" t="s">
        <v>587</v>
      </c>
      <c r="I369" s="43" t="s">
        <v>589</v>
      </c>
    </row>
    <row r="370" spans="1:9" ht="14.65" customHeight="1" x14ac:dyDescent="0.25">
      <c r="A370" s="10"/>
      <c r="B370" s="11"/>
      <c r="C370" s="11"/>
      <c r="D370" s="121" t="s">
        <v>296</v>
      </c>
      <c r="E370" s="122">
        <v>0</v>
      </c>
      <c r="F370" s="123">
        <v>-18</v>
      </c>
      <c r="G370" s="124">
        <v>-2</v>
      </c>
      <c r="H370" s="43" t="s">
        <v>587</v>
      </c>
      <c r="I370" s="43" t="s">
        <v>588</v>
      </c>
    </row>
    <row r="371" spans="1:9" ht="14.65" customHeight="1" x14ac:dyDescent="0.25">
      <c r="A371" s="10"/>
      <c r="B371" s="11"/>
      <c r="C371" s="11"/>
      <c r="D371" s="121" t="s">
        <v>297</v>
      </c>
      <c r="E371" s="122">
        <v>0</v>
      </c>
      <c r="F371" s="123">
        <v>12</v>
      </c>
      <c r="G371" s="124">
        <v>9</v>
      </c>
      <c r="H371" s="43" t="s">
        <v>587</v>
      </c>
      <c r="I371" s="43" t="s">
        <v>588</v>
      </c>
    </row>
    <row r="372" spans="1:9" ht="14.65" customHeight="1" x14ac:dyDescent="0.25">
      <c r="A372" s="10"/>
      <c r="B372" s="11"/>
      <c r="C372" s="11"/>
      <c r="D372" s="190" t="s">
        <v>195</v>
      </c>
      <c r="E372" s="153">
        <v>0</v>
      </c>
      <c r="F372" s="154">
        <v>0</v>
      </c>
      <c r="G372" s="191">
        <v>0</v>
      </c>
      <c r="H372" s="43" t="s">
        <v>587</v>
      </c>
      <c r="I372" s="120"/>
    </row>
    <row r="373" spans="1:9" ht="14.65" customHeight="1" x14ac:dyDescent="0.25">
      <c r="A373" s="10"/>
      <c r="B373" s="11"/>
      <c r="C373" s="11"/>
      <c r="D373" s="190" t="s">
        <v>129</v>
      </c>
      <c r="E373" s="153">
        <v>0</v>
      </c>
      <c r="F373" s="154">
        <v>0</v>
      </c>
      <c r="G373" s="191">
        <v>0</v>
      </c>
      <c r="H373" s="43" t="s">
        <v>587</v>
      </c>
      <c r="I373" s="120"/>
    </row>
    <row r="374" spans="1:9" ht="14.65" customHeight="1" thickBot="1" x14ac:dyDescent="0.3">
      <c r="A374" s="10"/>
      <c r="B374" s="11"/>
      <c r="C374" s="11"/>
      <c r="D374" s="190" t="s">
        <v>298</v>
      </c>
      <c r="E374" s="262">
        <v>0</v>
      </c>
      <c r="F374" s="263">
        <v>3</v>
      </c>
      <c r="G374" s="264">
        <v>9</v>
      </c>
      <c r="H374" s="43" t="s">
        <v>587</v>
      </c>
      <c r="I374" s="43" t="s">
        <v>588</v>
      </c>
    </row>
    <row r="375" spans="1:9" ht="15.75" thickTop="1" x14ac:dyDescent="0.25">
      <c r="A375" s="10"/>
      <c r="B375" s="11"/>
      <c r="C375" s="11"/>
      <c r="D375" s="33"/>
      <c r="E375" s="84" t="b">
        <f>+E374=SUM(E372:E373,E367:E368)</f>
        <v>1</v>
      </c>
      <c r="F375" s="85" t="b">
        <f>+F374=SUM(F372:F373,F367:F368)</f>
        <v>1</v>
      </c>
      <c r="G375" s="86" t="b">
        <f>+G374=SUM(G372:G373,G367:G368)</f>
        <v>1</v>
      </c>
      <c r="H375" s="120"/>
      <c r="I375" s="120"/>
    </row>
    <row r="376" spans="1:9" x14ac:dyDescent="0.25">
      <c r="A376" s="10"/>
      <c r="B376" s="11"/>
      <c r="C376" s="11"/>
      <c r="D376" s="33"/>
      <c r="E376" s="84" t="b">
        <f>SUM(E369:E371)=E368</f>
        <v>1</v>
      </c>
      <c r="F376" s="85" t="b">
        <f>SUM(F369:F371)=F368</f>
        <v>1</v>
      </c>
      <c r="G376" s="86" t="b">
        <f>SUM(G369:G371)=G368</f>
        <v>1</v>
      </c>
      <c r="H376" s="120"/>
      <c r="I376" s="120"/>
    </row>
    <row r="377" spans="1:9" x14ac:dyDescent="0.25">
      <c r="A377" s="10"/>
      <c r="B377" s="11"/>
      <c r="C377" s="11"/>
      <c r="D377" s="33"/>
      <c r="E377" s="100"/>
      <c r="F377" s="101"/>
      <c r="G377" s="102"/>
      <c r="H377" s="120"/>
      <c r="I377" s="120"/>
    </row>
    <row r="378" spans="1:9" x14ac:dyDescent="0.25">
      <c r="A378" s="10"/>
      <c r="B378" s="11"/>
      <c r="C378" s="104" t="s">
        <v>319</v>
      </c>
      <c r="D378" s="105"/>
      <c r="E378" s="106"/>
      <c r="F378" s="107"/>
      <c r="G378" s="108"/>
      <c r="H378" s="109"/>
      <c r="I378" s="109"/>
    </row>
    <row r="379" spans="1:9" x14ac:dyDescent="0.25">
      <c r="A379" s="10"/>
      <c r="B379" s="11"/>
      <c r="C379" s="11"/>
      <c r="D379" s="190" t="s">
        <v>320</v>
      </c>
      <c r="E379" s="153">
        <f>-E98</f>
        <v>581</v>
      </c>
      <c r="F379" s="154">
        <f>-F98</f>
        <v>520</v>
      </c>
      <c r="G379" s="191">
        <f>-G98</f>
        <v>372</v>
      </c>
      <c r="H379" s="324"/>
      <c r="I379" s="324" t="s">
        <v>321</v>
      </c>
    </row>
    <row r="380" spans="1:9" x14ac:dyDescent="0.25">
      <c r="A380" s="10"/>
      <c r="B380" s="11"/>
      <c r="C380" s="11"/>
      <c r="D380" s="190" t="s">
        <v>322</v>
      </c>
      <c r="E380" s="153">
        <f>-E102</f>
        <v>738</v>
      </c>
      <c r="F380" s="154">
        <f>-F102</f>
        <v>682</v>
      </c>
      <c r="G380" s="191">
        <f>-G102</f>
        <v>628</v>
      </c>
      <c r="H380" s="324"/>
      <c r="I380" s="324" t="s">
        <v>323</v>
      </c>
    </row>
    <row r="381" spans="1:9" x14ac:dyDescent="0.25">
      <c r="A381" s="10"/>
      <c r="B381" s="11"/>
      <c r="C381" s="11"/>
      <c r="D381" s="190" t="s">
        <v>324</v>
      </c>
      <c r="E381" s="153">
        <f>-E183</f>
        <v>1026</v>
      </c>
      <c r="F381" s="154">
        <f>-F183</f>
        <v>1073</v>
      </c>
      <c r="G381" s="191">
        <f>-G183</f>
        <v>377</v>
      </c>
      <c r="H381" s="128"/>
      <c r="I381" s="128" t="s">
        <v>321</v>
      </c>
    </row>
    <row r="382" spans="1:9" ht="15.75" thickBot="1" x14ac:dyDescent="0.3">
      <c r="A382" s="10"/>
      <c r="B382" s="11"/>
      <c r="C382" s="11"/>
      <c r="D382" s="190"/>
      <c r="E382" s="262">
        <f>SUM(E379:E381)</f>
        <v>2345</v>
      </c>
      <c r="F382" s="263">
        <f>SUM(F379:F381)</f>
        <v>2275</v>
      </c>
      <c r="G382" s="264">
        <f>SUM(G379:G381)</f>
        <v>1377</v>
      </c>
      <c r="H382" s="120"/>
      <c r="I382" s="120"/>
    </row>
    <row r="383" spans="1:9" ht="15.75" thickTop="1" x14ac:dyDescent="0.25">
      <c r="A383" s="10"/>
      <c r="B383" s="11"/>
      <c r="C383" s="11"/>
      <c r="D383" s="190"/>
      <c r="E383" s="84"/>
      <c r="F383" s="85"/>
      <c r="G383" s="86"/>
      <c r="H383" s="120"/>
      <c r="I383" s="120"/>
    </row>
    <row r="384" spans="1:9" x14ac:dyDescent="0.25">
      <c r="A384" s="10"/>
      <c r="B384" s="11"/>
      <c r="C384" s="11"/>
      <c r="D384" s="190" t="s">
        <v>325</v>
      </c>
      <c r="E384" s="153">
        <f>-E97</f>
        <v>4791</v>
      </c>
      <c r="F384" s="154">
        <f>-F97</f>
        <v>3538</v>
      </c>
      <c r="G384" s="191">
        <f>-G97</f>
        <v>2075</v>
      </c>
      <c r="H384" s="324"/>
      <c r="I384" s="324" t="s">
        <v>321</v>
      </c>
    </row>
    <row r="385" spans="1:9" x14ac:dyDescent="0.25">
      <c r="A385" s="10"/>
      <c r="B385" s="11"/>
      <c r="C385" s="11"/>
      <c r="D385" s="190" t="s">
        <v>326</v>
      </c>
      <c r="E385" s="153">
        <f>-E101</f>
        <v>2675</v>
      </c>
      <c r="F385" s="154">
        <f>-F101</f>
        <v>2865</v>
      </c>
      <c r="G385" s="191">
        <f>-G101</f>
        <v>2029</v>
      </c>
      <c r="H385" s="324"/>
      <c r="I385" s="324" t="s">
        <v>323</v>
      </c>
    </row>
    <row r="386" spans="1:9" x14ac:dyDescent="0.25">
      <c r="A386" s="10"/>
      <c r="B386" s="11"/>
      <c r="C386" s="11"/>
      <c r="D386" s="190" t="s">
        <v>327</v>
      </c>
      <c r="E386" s="153">
        <f>SUM(E390:E392)</f>
        <v>1983</v>
      </c>
      <c r="F386" s="154">
        <f>SUM(F390:F392)</f>
        <v>1457</v>
      </c>
      <c r="G386" s="191">
        <f>SUM(G390:G392)</f>
        <v>1350</v>
      </c>
      <c r="H386" s="43"/>
      <c r="I386" s="43" t="s">
        <v>590</v>
      </c>
    </row>
    <row r="387" spans="1:9" ht="15.75" thickBot="1" x14ac:dyDescent="0.3">
      <c r="A387" s="10"/>
      <c r="B387" s="11"/>
      <c r="C387" s="11"/>
      <c r="D387" s="190"/>
      <c r="E387" s="262">
        <f>SUM(E384:E386)</f>
        <v>9449</v>
      </c>
      <c r="F387" s="263">
        <f>SUM(F384:F386)</f>
        <v>7860</v>
      </c>
      <c r="G387" s="264">
        <f>SUM(G384:G386)</f>
        <v>5454</v>
      </c>
      <c r="H387" s="120"/>
      <c r="I387" s="120"/>
    </row>
    <row r="388" spans="1:9" ht="15.75" thickTop="1" x14ac:dyDescent="0.25">
      <c r="A388" s="10"/>
      <c r="B388" s="11"/>
      <c r="C388" s="11"/>
      <c r="D388" s="190"/>
      <c r="E388" s="350"/>
      <c r="F388" s="351"/>
      <c r="G388" s="352"/>
      <c r="H388" s="120"/>
      <c r="I388" s="120"/>
    </row>
    <row r="389" spans="1:9" x14ac:dyDescent="0.25">
      <c r="A389" s="10"/>
      <c r="B389" s="11"/>
      <c r="C389" s="223" t="s">
        <v>329</v>
      </c>
      <c r="D389" s="224"/>
      <c r="E389" s="225"/>
      <c r="F389" s="226"/>
      <c r="G389" s="227"/>
      <c r="H389" s="228"/>
      <c r="I389" s="228"/>
    </row>
    <row r="390" spans="1:9" x14ac:dyDescent="0.25">
      <c r="A390" s="10"/>
      <c r="B390" s="11"/>
      <c r="C390" s="331"/>
      <c r="D390" s="234" t="s">
        <v>591</v>
      </c>
      <c r="E390" s="485">
        <v>0</v>
      </c>
      <c r="F390" s="486">
        <v>0</v>
      </c>
      <c r="G390" s="487">
        <v>0</v>
      </c>
      <c r="H390" s="48" t="s">
        <v>263</v>
      </c>
      <c r="I390" s="48" t="s">
        <v>592</v>
      </c>
    </row>
    <row r="391" spans="1:9" x14ac:dyDescent="0.25">
      <c r="A391" s="10"/>
      <c r="B391" s="11"/>
      <c r="C391" s="11"/>
      <c r="D391" s="234" t="s">
        <v>593</v>
      </c>
      <c r="E391" s="485">
        <v>720</v>
      </c>
      <c r="F391" s="486">
        <v>619</v>
      </c>
      <c r="G391" s="487">
        <v>659</v>
      </c>
      <c r="H391" s="48" t="s">
        <v>594</v>
      </c>
      <c r="I391" s="48" t="s">
        <v>595</v>
      </c>
    </row>
    <row r="392" spans="1:9" x14ac:dyDescent="0.25">
      <c r="A392" s="10"/>
      <c r="B392" s="11"/>
      <c r="C392" s="11"/>
      <c r="D392" s="234" t="s">
        <v>596</v>
      </c>
      <c r="E392" s="485">
        <v>1263</v>
      </c>
      <c r="F392" s="486">
        <v>838</v>
      </c>
      <c r="G392" s="487">
        <v>691</v>
      </c>
      <c r="H392" s="48" t="s">
        <v>597</v>
      </c>
      <c r="I392" s="48" t="s">
        <v>435</v>
      </c>
    </row>
    <row r="393" spans="1:9" x14ac:dyDescent="0.25">
      <c r="A393" s="10"/>
      <c r="B393" s="11"/>
      <c r="C393" s="11"/>
      <c r="D393" s="190"/>
      <c r="E393" s="350"/>
      <c r="F393" s="351"/>
      <c r="G393" s="352"/>
      <c r="H393" s="520"/>
      <c r="I393" s="520"/>
    </row>
    <row r="394" spans="1:9" x14ac:dyDescent="0.25">
      <c r="A394" s="10"/>
      <c r="B394" s="11"/>
      <c r="C394" s="104" t="s">
        <v>334</v>
      </c>
      <c r="D394" s="105"/>
      <c r="E394" s="106"/>
      <c r="F394" s="107"/>
      <c r="G394" s="108"/>
      <c r="H394" s="109"/>
      <c r="I394" s="109"/>
    </row>
    <row r="395" spans="1:9" x14ac:dyDescent="0.25">
      <c r="A395" s="10"/>
      <c r="B395" s="11"/>
      <c r="C395" s="337">
        <f>+(E395-F395)/F395</f>
        <v>0.39858356940509915</v>
      </c>
      <c r="D395" s="190" t="s">
        <v>598</v>
      </c>
      <c r="E395" s="153">
        <v>4937</v>
      </c>
      <c r="F395" s="154">
        <f>3530</f>
        <v>3530</v>
      </c>
      <c r="G395" s="521">
        <v>2381</v>
      </c>
      <c r="H395" s="522" t="s">
        <v>599</v>
      </c>
      <c r="I395" s="43" t="s">
        <v>600</v>
      </c>
    </row>
    <row r="396" spans="1:9" x14ac:dyDescent="0.25">
      <c r="A396" s="10"/>
      <c r="B396" s="11"/>
      <c r="C396" s="337">
        <f>+(E396-F396)/F396</f>
        <v>1.5441860465116279E-2</v>
      </c>
      <c r="D396" s="190" t="s">
        <v>342</v>
      </c>
      <c r="E396" s="153">
        <v>5458</v>
      </c>
      <c r="F396" s="523">
        <v>5375</v>
      </c>
      <c r="G396" s="521">
        <v>4276</v>
      </c>
      <c r="H396" s="43" t="s">
        <v>601</v>
      </c>
      <c r="I396" s="43" t="s">
        <v>600</v>
      </c>
    </row>
    <row r="397" spans="1:9" x14ac:dyDescent="0.25">
      <c r="A397" s="10"/>
      <c r="B397" s="11"/>
      <c r="C397" s="337">
        <f>+(E397-F397)/F397</f>
        <v>0.12090395480225989</v>
      </c>
      <c r="D397" s="159" t="s">
        <v>602</v>
      </c>
      <c r="E397" s="153">
        <v>3968</v>
      </c>
      <c r="F397" s="523">
        <v>3540</v>
      </c>
      <c r="G397" s="521">
        <f>1668+1485</f>
        <v>3153</v>
      </c>
      <c r="H397" s="43" t="s">
        <v>603</v>
      </c>
      <c r="I397" s="43" t="s">
        <v>604</v>
      </c>
    </row>
    <row r="398" spans="1:9" x14ac:dyDescent="0.25">
      <c r="A398" s="10"/>
      <c r="B398" s="11"/>
      <c r="C398" s="337">
        <f>+(E398-F398)/F398</f>
        <v>-0.18756815703380589</v>
      </c>
      <c r="D398" s="159" t="s">
        <v>605</v>
      </c>
      <c r="E398" s="153">
        <f>E396-E397</f>
        <v>1490</v>
      </c>
      <c r="F398" s="154">
        <v>1834</v>
      </c>
      <c r="G398" s="521">
        <v>1121</v>
      </c>
      <c r="H398" s="43" t="s">
        <v>603</v>
      </c>
      <c r="I398" s="43" t="s">
        <v>604</v>
      </c>
    </row>
    <row r="399" spans="1:9" x14ac:dyDescent="0.25">
      <c r="A399" s="10"/>
      <c r="B399" s="11"/>
      <c r="C399" s="11"/>
      <c r="D399" s="190" t="s">
        <v>606</v>
      </c>
      <c r="E399" s="153"/>
      <c r="F399" s="154"/>
      <c r="G399" s="155"/>
      <c r="H399" s="43"/>
      <c r="I399" s="43"/>
    </row>
    <row r="400" spans="1:9" x14ac:dyDescent="0.25">
      <c r="A400" s="10"/>
      <c r="B400" s="11"/>
      <c r="C400" s="11"/>
      <c r="D400" s="190" t="s">
        <v>607</v>
      </c>
      <c r="E400" s="153"/>
      <c r="F400" s="154"/>
      <c r="G400" s="155"/>
      <c r="H400" s="43"/>
      <c r="I400" s="43"/>
    </row>
    <row r="401" spans="1:9" ht="15.75" hidden="1" thickBot="1" x14ac:dyDescent="0.3">
      <c r="A401" s="10"/>
      <c r="B401" s="11"/>
      <c r="C401" s="11"/>
      <c r="D401" s="190"/>
      <c r="E401" s="262">
        <f>SUM(E395:E400)</f>
        <v>15853</v>
      </c>
      <c r="F401" s="263">
        <f>SUM(F395:F400)</f>
        <v>14279</v>
      </c>
      <c r="G401" s="263">
        <f>SUM(G395:G400)</f>
        <v>10931</v>
      </c>
      <c r="H401" s="120"/>
      <c r="I401" s="120"/>
    </row>
    <row r="402" spans="1:9" hidden="1" x14ac:dyDescent="0.25">
      <c r="A402" s="10"/>
      <c r="B402" s="11"/>
      <c r="C402" s="11"/>
      <c r="D402" s="190"/>
      <c r="E402" s="350"/>
      <c r="F402" s="351"/>
      <c r="G402" s="352"/>
      <c r="H402" s="120"/>
      <c r="I402" s="120"/>
    </row>
    <row r="403" spans="1:9" hidden="1" x14ac:dyDescent="0.25">
      <c r="A403" s="10"/>
      <c r="B403" s="11"/>
      <c r="C403" s="26"/>
      <c r="D403" s="27"/>
      <c r="E403" s="28"/>
      <c r="F403" s="29"/>
      <c r="G403" s="30"/>
      <c r="H403" s="31"/>
      <c r="I403" s="31"/>
    </row>
    <row r="404" spans="1:9" hidden="1" x14ac:dyDescent="0.25">
      <c r="A404" s="10"/>
      <c r="B404" s="11"/>
      <c r="C404" s="104" t="s">
        <v>351</v>
      </c>
      <c r="D404" s="105"/>
      <c r="E404" s="106"/>
      <c r="F404" s="107"/>
      <c r="G404" s="108"/>
      <c r="H404" s="109"/>
      <c r="I404" s="109"/>
    </row>
    <row r="405" spans="1:9" hidden="1" x14ac:dyDescent="0.25">
      <c r="A405" s="10"/>
      <c r="B405" s="11"/>
      <c r="C405" s="11"/>
      <c r="D405" s="190" t="s">
        <v>352</v>
      </c>
      <c r="E405" s="84"/>
      <c r="F405" s="85"/>
      <c r="G405" s="86"/>
      <c r="H405" s="524"/>
      <c r="I405" s="355"/>
    </row>
    <row r="406" spans="1:9" hidden="1" x14ac:dyDescent="0.25">
      <c r="A406" s="10"/>
      <c r="B406" s="11"/>
      <c r="C406" s="11"/>
      <c r="D406" s="190"/>
      <c r="E406" s="84"/>
      <c r="F406" s="85"/>
      <c r="G406" s="86"/>
      <c r="H406" s="524"/>
      <c r="I406" s="355"/>
    </row>
    <row r="407" spans="1:9" hidden="1" x14ac:dyDescent="0.25">
      <c r="A407" s="10"/>
      <c r="B407" s="11"/>
      <c r="C407" s="11"/>
      <c r="D407" s="190"/>
      <c r="E407" s="84"/>
      <c r="F407" s="85"/>
      <c r="G407" s="86"/>
      <c r="H407" s="524"/>
      <c r="I407" s="355"/>
    </row>
    <row r="408" spans="1:9" hidden="1" x14ac:dyDescent="0.25">
      <c r="A408" s="10"/>
      <c r="B408" s="11"/>
      <c r="C408" s="11"/>
      <c r="D408" s="190"/>
      <c r="E408" s="84"/>
      <c r="F408" s="85"/>
      <c r="G408" s="86"/>
      <c r="H408" s="524"/>
      <c r="I408" s="355"/>
    </row>
    <row r="409" spans="1:9" hidden="1" x14ac:dyDescent="0.25">
      <c r="A409" s="10"/>
      <c r="B409" s="11"/>
      <c r="C409" s="104" t="s">
        <v>353</v>
      </c>
      <c r="D409" s="105"/>
      <c r="E409" s="106"/>
      <c r="F409" s="107"/>
      <c r="G409" s="108"/>
      <c r="H409" s="109"/>
      <c r="I409" s="109"/>
    </row>
    <row r="410" spans="1:9" hidden="1" x14ac:dyDescent="0.25">
      <c r="A410" s="10"/>
      <c r="B410" s="11"/>
      <c r="C410" s="11"/>
      <c r="D410" s="190" t="s">
        <v>354</v>
      </c>
      <c r="E410" s="84"/>
      <c r="F410" s="85"/>
      <c r="G410" s="86"/>
      <c r="H410" s="524"/>
      <c r="I410" s="355"/>
    </row>
    <row r="411" spans="1:9" hidden="1" x14ac:dyDescent="0.25">
      <c r="A411" s="10"/>
      <c r="B411" s="11"/>
      <c r="C411" s="11"/>
      <c r="D411" s="281" t="s">
        <v>355</v>
      </c>
      <c r="E411" s="356"/>
      <c r="F411" s="357">
        <f>F380</f>
        <v>682</v>
      </c>
      <c r="G411" s="358">
        <f>G380</f>
        <v>628</v>
      </c>
      <c r="H411" s="43"/>
      <c r="I411" s="43" t="s">
        <v>588</v>
      </c>
    </row>
    <row r="412" spans="1:9" hidden="1" x14ac:dyDescent="0.25">
      <c r="A412" s="10"/>
      <c r="B412" s="11"/>
      <c r="C412" s="11"/>
      <c r="D412" s="281" t="s">
        <v>356</v>
      </c>
      <c r="E412" s="359"/>
      <c r="F412" s="360"/>
      <c r="G412" s="361"/>
      <c r="H412" s="524"/>
      <c r="I412" s="355"/>
    </row>
    <row r="413" spans="1:9" hidden="1" x14ac:dyDescent="0.25">
      <c r="A413" s="10"/>
      <c r="B413" s="11"/>
      <c r="C413" s="11"/>
      <c r="D413" s="281" t="s">
        <v>357</v>
      </c>
      <c r="E413" s="362"/>
      <c r="F413" s="363"/>
      <c r="G413" s="364"/>
      <c r="H413" s="524"/>
      <c r="I413" s="355"/>
    </row>
    <row r="414" spans="1:9" hidden="1" x14ac:dyDescent="0.25">
      <c r="A414" s="10"/>
      <c r="B414" s="11"/>
      <c r="C414" s="11"/>
      <c r="D414" s="190"/>
      <c r="E414" s="359"/>
      <c r="F414" s="360"/>
      <c r="G414" s="361"/>
      <c r="H414" s="524"/>
      <c r="I414" s="355"/>
    </row>
    <row r="415" spans="1:9" hidden="1" x14ac:dyDescent="0.25">
      <c r="A415" s="10"/>
      <c r="B415" s="11"/>
      <c r="C415" s="11"/>
      <c r="D415" s="190" t="s">
        <v>358</v>
      </c>
      <c r="E415" s="359"/>
      <c r="F415" s="360"/>
      <c r="G415" s="361"/>
      <c r="H415" s="524"/>
      <c r="I415" s="355"/>
    </row>
    <row r="416" spans="1:9" hidden="1" x14ac:dyDescent="0.25">
      <c r="A416" s="10"/>
      <c r="B416" s="11"/>
      <c r="C416" s="11"/>
      <c r="D416" s="281" t="s">
        <v>355</v>
      </c>
      <c r="E416" s="356"/>
      <c r="F416" s="357">
        <f>F379</f>
        <v>520</v>
      </c>
      <c r="G416" s="358">
        <f>G379</f>
        <v>372</v>
      </c>
      <c r="H416" s="524"/>
      <c r="I416" s="355"/>
    </row>
    <row r="417" spans="1:9" hidden="1" x14ac:dyDescent="0.25">
      <c r="A417" s="10"/>
      <c r="B417" s="11"/>
      <c r="C417" s="11"/>
      <c r="D417" s="281" t="s">
        <v>359</v>
      </c>
      <c r="E417" s="359"/>
      <c r="F417" s="360"/>
      <c r="G417" s="361"/>
      <c r="H417" s="524"/>
      <c r="I417" s="355"/>
    </row>
    <row r="418" spans="1:9" hidden="1" x14ac:dyDescent="0.25">
      <c r="A418" s="10"/>
      <c r="B418" s="11"/>
      <c r="C418" s="11"/>
      <c r="D418" s="281" t="s">
        <v>360</v>
      </c>
      <c r="E418" s="362"/>
      <c r="F418" s="363"/>
      <c r="G418" s="364"/>
      <c r="H418" s="524"/>
      <c r="I418" s="355"/>
    </row>
    <row r="419" spans="1:9" hidden="1" x14ac:dyDescent="0.25">
      <c r="A419" s="10"/>
      <c r="B419" s="11"/>
      <c r="C419" s="11"/>
      <c r="D419" s="281"/>
      <c r="E419" s="359"/>
      <c r="F419" s="360"/>
      <c r="G419" s="361"/>
      <c r="H419" s="524"/>
      <c r="I419" s="355"/>
    </row>
    <row r="420" spans="1:9" hidden="1" x14ac:dyDescent="0.25">
      <c r="A420" s="10"/>
      <c r="B420" s="11"/>
      <c r="C420" s="11"/>
      <c r="D420" s="190" t="s">
        <v>361</v>
      </c>
      <c r="E420" s="359"/>
      <c r="F420" s="360"/>
      <c r="G420" s="361"/>
      <c r="H420" s="524"/>
      <c r="I420" s="355"/>
    </row>
    <row r="421" spans="1:9" hidden="1" x14ac:dyDescent="0.25">
      <c r="A421" s="10"/>
      <c r="B421" s="11"/>
      <c r="C421" s="11"/>
      <c r="D421" s="281" t="s">
        <v>355</v>
      </c>
      <c r="E421" s="356"/>
      <c r="F421" s="357">
        <f>SUM(F411,F416)</f>
        <v>1202</v>
      </c>
      <c r="G421" s="358">
        <f t="shared" ref="G421:G423" si="13">SUM(G411,G416)</f>
        <v>1000</v>
      </c>
      <c r="H421" s="524"/>
      <c r="I421" s="355"/>
    </row>
    <row r="422" spans="1:9" hidden="1" x14ac:dyDescent="0.25">
      <c r="A422" s="10"/>
      <c r="B422" s="11"/>
      <c r="C422" s="11"/>
      <c r="D422" s="281" t="s">
        <v>362</v>
      </c>
      <c r="E422" s="359"/>
      <c r="F422" s="360">
        <f t="shared" ref="F422:F423" si="14">SUM(F412,F417)</f>
        <v>0</v>
      </c>
      <c r="G422" s="361">
        <f t="shared" si="13"/>
        <v>0</v>
      </c>
      <c r="H422" s="524"/>
      <c r="I422" s="355"/>
    </row>
    <row r="423" spans="1:9" hidden="1" x14ac:dyDescent="0.25">
      <c r="A423" s="10"/>
      <c r="B423" s="11"/>
      <c r="C423" s="11"/>
      <c r="D423" s="281" t="s">
        <v>360</v>
      </c>
      <c r="E423" s="362"/>
      <c r="F423" s="363">
        <f t="shared" si="14"/>
        <v>0</v>
      </c>
      <c r="G423" s="364">
        <f t="shared" si="13"/>
        <v>0</v>
      </c>
      <c r="H423" s="524"/>
      <c r="I423" s="355"/>
    </row>
    <row r="424" spans="1:9" x14ac:dyDescent="0.25">
      <c r="A424" s="10"/>
      <c r="B424" s="11"/>
      <c r="C424" s="11"/>
      <c r="D424" s="281"/>
      <c r="E424" s="359"/>
      <c r="F424" s="360"/>
      <c r="G424" s="361"/>
      <c r="H424" s="524"/>
      <c r="I424" s="355"/>
    </row>
    <row r="425" spans="1:9" x14ac:dyDescent="0.25">
      <c r="A425" s="10"/>
      <c r="B425" s="11"/>
      <c r="C425" s="11"/>
      <c r="D425" s="190"/>
      <c r="E425" s="84"/>
      <c r="F425" s="85"/>
      <c r="G425" s="86"/>
      <c r="H425" s="524"/>
      <c r="I425" s="355"/>
    </row>
    <row r="426" spans="1:9" x14ac:dyDescent="0.25">
      <c r="A426" s="10"/>
      <c r="B426" s="25" t="s">
        <v>363</v>
      </c>
      <c r="C426" s="26"/>
      <c r="D426" s="27"/>
      <c r="E426" s="28"/>
      <c r="F426" s="29"/>
      <c r="G426" s="30"/>
      <c r="H426" s="366"/>
      <c r="I426" s="366"/>
    </row>
    <row r="427" spans="1:9" x14ac:dyDescent="0.25">
      <c r="A427" s="10"/>
      <c r="C427" s="104" t="s">
        <v>364</v>
      </c>
      <c r="D427" s="105"/>
      <c r="E427" s="106"/>
      <c r="F427" s="107"/>
      <c r="G427" s="108"/>
      <c r="H427" s="109"/>
      <c r="I427" s="109"/>
    </row>
    <row r="428" spans="1:9" x14ac:dyDescent="0.25">
      <c r="A428" s="10"/>
      <c r="C428" s="32"/>
      <c r="D428" s="190" t="s">
        <v>365</v>
      </c>
      <c r="E428" s="525">
        <f>E431/E430</f>
        <v>1.9843775165082944</v>
      </c>
      <c r="F428" s="368">
        <f>F431/F430</f>
        <v>1.75930709618599</v>
      </c>
      <c r="G428" s="369">
        <f>G431/G430</f>
        <v>2.2145833333333331</v>
      </c>
      <c r="H428" s="43" t="s">
        <v>608</v>
      </c>
      <c r="I428" s="43" t="s">
        <v>609</v>
      </c>
    </row>
    <row r="429" spans="1:9" x14ac:dyDescent="0.25">
      <c r="A429" s="10"/>
      <c r="C429" s="32"/>
      <c r="D429" s="190" t="s">
        <v>368</v>
      </c>
      <c r="E429" s="526">
        <v>1.6</v>
      </c>
      <c r="F429" s="527">
        <v>1.6</v>
      </c>
      <c r="G429" s="528">
        <v>1.6</v>
      </c>
      <c r="H429" s="344" t="s">
        <v>610</v>
      </c>
      <c r="I429" s="344" t="s">
        <v>611</v>
      </c>
    </row>
    <row r="430" spans="1:9" x14ac:dyDescent="0.25">
      <c r="A430" s="10"/>
      <c r="C430" s="32"/>
      <c r="D430" s="190" t="s">
        <v>370</v>
      </c>
      <c r="E430" s="153">
        <v>6209</v>
      </c>
      <c r="F430" s="154">
        <v>6581</v>
      </c>
      <c r="G430" s="191">
        <v>3360</v>
      </c>
      <c r="H430" s="43" t="s">
        <v>612</v>
      </c>
      <c r="I430" s="43" t="s">
        <v>613</v>
      </c>
    </row>
    <row r="431" spans="1:9" x14ac:dyDescent="0.25">
      <c r="A431" s="10"/>
      <c r="C431" s="32"/>
      <c r="D431" s="190" t="s">
        <v>371</v>
      </c>
      <c r="E431" s="153">
        <v>12321</v>
      </c>
      <c r="F431" s="154">
        <v>11578</v>
      </c>
      <c r="G431" s="191">
        <v>7441</v>
      </c>
      <c r="H431" s="43" t="s">
        <v>612</v>
      </c>
      <c r="I431" s="43" t="s">
        <v>613</v>
      </c>
    </row>
    <row r="432" spans="1:9" x14ac:dyDescent="0.25">
      <c r="A432" s="10"/>
      <c r="C432" s="32"/>
      <c r="D432" s="190" t="s">
        <v>372</v>
      </c>
      <c r="E432" s="529" t="s">
        <v>614</v>
      </c>
      <c r="F432" s="530" t="s">
        <v>615</v>
      </c>
      <c r="G432" s="530">
        <v>2065</v>
      </c>
      <c r="H432" s="531" t="s">
        <v>373</v>
      </c>
      <c r="I432" s="57" t="s">
        <v>373</v>
      </c>
    </row>
    <row r="433" spans="1:9" x14ac:dyDescent="0.25">
      <c r="A433" s="10"/>
      <c r="C433" s="32"/>
      <c r="D433" s="190" t="s">
        <v>374</v>
      </c>
      <c r="E433" s="153">
        <f>+E431-E430</f>
        <v>6112</v>
      </c>
      <c r="F433" s="154">
        <f>+F431-F430</f>
        <v>4997</v>
      </c>
      <c r="G433" s="191">
        <f>G431-G430</f>
        <v>4081</v>
      </c>
      <c r="H433" s="128" t="s">
        <v>616</v>
      </c>
      <c r="I433" s="128"/>
    </row>
    <row r="434" spans="1:9" x14ac:dyDescent="0.25">
      <c r="A434" s="10"/>
      <c r="C434" s="32"/>
      <c r="D434" s="378" t="s">
        <v>375</v>
      </c>
      <c r="E434" s="532">
        <v>1193</v>
      </c>
      <c r="F434" s="380">
        <v>874</v>
      </c>
      <c r="G434" s="533">
        <v>653</v>
      </c>
      <c r="H434" s="534" t="s">
        <v>617</v>
      </c>
      <c r="I434" s="382" t="s">
        <v>618</v>
      </c>
    </row>
    <row r="435" spans="1:9" x14ac:dyDescent="0.25">
      <c r="A435" s="10"/>
      <c r="C435" s="32"/>
      <c r="D435" s="190"/>
      <c r="E435" s="153"/>
      <c r="F435" s="154"/>
      <c r="G435" s="191"/>
      <c r="H435" s="128"/>
      <c r="I435" s="128"/>
    </row>
    <row r="436" spans="1:9" x14ac:dyDescent="0.25">
      <c r="A436" s="10"/>
      <c r="B436" s="25" t="s">
        <v>378</v>
      </c>
      <c r="C436" s="26"/>
      <c r="D436" s="27"/>
      <c r="E436" s="28"/>
      <c r="F436" s="29"/>
      <c r="G436" s="30"/>
      <c r="H436" s="366"/>
      <c r="I436" s="366"/>
    </row>
    <row r="437" spans="1:9" x14ac:dyDescent="0.25">
      <c r="A437" s="10"/>
      <c r="C437" s="32"/>
      <c r="D437" s="190"/>
      <c r="E437" s="153"/>
      <c r="F437" s="154"/>
      <c r="G437" s="191"/>
      <c r="H437" s="128"/>
      <c r="I437" s="128"/>
    </row>
    <row r="438" spans="1:9" x14ac:dyDescent="0.25">
      <c r="A438" s="10"/>
      <c r="C438" s="32"/>
      <c r="D438" s="210" t="s">
        <v>619</v>
      </c>
      <c r="E438" s="153"/>
      <c r="F438" s="154"/>
      <c r="G438" s="191"/>
      <c r="H438" s="128"/>
      <c r="I438" s="128"/>
    </row>
    <row r="439" spans="1:9" x14ac:dyDescent="0.25">
      <c r="A439" s="10"/>
      <c r="C439" s="32"/>
      <c r="D439" s="190" t="s">
        <v>620</v>
      </c>
      <c r="E439" s="153">
        <v>3364</v>
      </c>
      <c r="F439" s="154">
        <v>3051</v>
      </c>
      <c r="G439" s="191">
        <v>664</v>
      </c>
      <c r="H439" s="43" t="s">
        <v>621</v>
      </c>
      <c r="I439" s="43" t="s">
        <v>622</v>
      </c>
    </row>
    <row r="440" spans="1:9" x14ac:dyDescent="0.25">
      <c r="A440" s="10"/>
      <c r="C440" s="32"/>
      <c r="D440" s="190"/>
      <c r="E440" s="153"/>
      <c r="F440" s="154"/>
      <c r="G440" s="191"/>
      <c r="H440" s="128"/>
      <c r="I440" s="128"/>
    </row>
    <row r="441" spans="1:9" x14ac:dyDescent="0.25">
      <c r="A441" s="10"/>
      <c r="C441" s="32"/>
      <c r="D441" s="210" t="s">
        <v>623</v>
      </c>
      <c r="E441" s="153"/>
      <c r="F441" s="154"/>
      <c r="G441" s="191"/>
      <c r="H441" s="128"/>
      <c r="I441" s="128"/>
    </row>
    <row r="442" spans="1:9" x14ac:dyDescent="0.25">
      <c r="A442" s="10"/>
      <c r="C442" s="32"/>
      <c r="D442" s="535" t="s">
        <v>624</v>
      </c>
      <c r="E442" s="153"/>
      <c r="F442" s="154"/>
      <c r="G442" s="191"/>
      <c r="H442" s="128"/>
      <c r="I442" s="128"/>
    </row>
    <row r="443" spans="1:9" x14ac:dyDescent="0.25">
      <c r="A443" s="10"/>
      <c r="C443" s="32"/>
      <c r="D443" s="190" t="s">
        <v>411</v>
      </c>
      <c r="E443" s="153">
        <v>0</v>
      </c>
      <c r="F443" s="154">
        <v>213</v>
      </c>
      <c r="G443" s="191">
        <v>437</v>
      </c>
      <c r="H443" s="43" t="s">
        <v>625</v>
      </c>
      <c r="I443" s="43" t="s">
        <v>626</v>
      </c>
    </row>
    <row r="444" spans="1:9" x14ac:dyDescent="0.25">
      <c r="A444" s="10"/>
      <c r="C444" s="32"/>
      <c r="D444" s="190"/>
      <c r="E444" s="153"/>
      <c r="F444" s="154"/>
      <c r="G444" s="191"/>
      <c r="H444" s="128"/>
      <c r="I444" s="128"/>
    </row>
    <row r="445" spans="1:9" x14ac:dyDescent="0.25">
      <c r="A445" s="10"/>
      <c r="C445" s="32"/>
      <c r="D445" s="535" t="s">
        <v>627</v>
      </c>
      <c r="E445" s="153"/>
      <c r="F445" s="154"/>
      <c r="G445" s="191"/>
      <c r="H445" s="128"/>
      <c r="I445" s="128"/>
    </row>
    <row r="446" spans="1:9" x14ac:dyDescent="0.25">
      <c r="A446" s="10"/>
      <c r="C446" s="32"/>
      <c r="D446" s="190" t="s">
        <v>628</v>
      </c>
      <c r="E446" s="153">
        <v>5428</v>
      </c>
      <c r="F446" s="154">
        <v>5253</v>
      </c>
      <c r="G446" s="191">
        <v>4092</v>
      </c>
      <c r="H446" s="43" t="s">
        <v>625</v>
      </c>
      <c r="I446" s="43" t="s">
        <v>626</v>
      </c>
    </row>
    <row r="447" spans="1:9" x14ac:dyDescent="0.25">
      <c r="A447" s="10"/>
      <c r="C447" s="32"/>
      <c r="D447" s="190" t="s">
        <v>629</v>
      </c>
      <c r="E447" s="153">
        <v>2031</v>
      </c>
      <c r="F447" s="154">
        <v>997</v>
      </c>
      <c r="G447" s="191">
        <v>1008</v>
      </c>
      <c r="H447" s="43" t="s">
        <v>625</v>
      </c>
      <c r="I447" s="43" t="s">
        <v>626</v>
      </c>
    </row>
    <row r="448" spans="1:9" x14ac:dyDescent="0.25">
      <c r="A448" s="10"/>
      <c r="C448" s="32"/>
      <c r="D448" s="190" t="s">
        <v>630</v>
      </c>
      <c r="E448" s="153">
        <v>639</v>
      </c>
      <c r="F448" s="154">
        <v>772</v>
      </c>
      <c r="G448" s="191">
        <v>0</v>
      </c>
      <c r="H448" s="43" t="s">
        <v>625</v>
      </c>
      <c r="I448" s="43" t="s">
        <v>626</v>
      </c>
    </row>
    <row r="449" spans="1:9" x14ac:dyDescent="0.25">
      <c r="A449" s="10"/>
      <c r="C449" s="32"/>
      <c r="D449" s="190" t="s">
        <v>631</v>
      </c>
      <c r="E449" s="153">
        <v>15774</v>
      </c>
      <c r="F449" s="154">
        <v>15854</v>
      </c>
      <c r="G449" s="191">
        <v>8872</v>
      </c>
      <c r="H449" s="43" t="s">
        <v>625</v>
      </c>
      <c r="I449" s="43" t="s">
        <v>626</v>
      </c>
    </row>
    <row r="450" spans="1:9" x14ac:dyDescent="0.25">
      <c r="A450" s="10"/>
      <c r="C450" s="32"/>
      <c r="D450" s="190" t="s">
        <v>632</v>
      </c>
      <c r="E450" s="153">
        <v>10621</v>
      </c>
      <c r="F450" s="154">
        <v>9948</v>
      </c>
      <c r="G450" s="191">
        <v>7272</v>
      </c>
      <c r="H450" s="43" t="s">
        <v>625</v>
      </c>
      <c r="I450" s="43" t="s">
        <v>626</v>
      </c>
    </row>
    <row r="451" spans="1:9" x14ac:dyDescent="0.25">
      <c r="A451" s="10"/>
      <c r="C451" s="32"/>
      <c r="D451" s="190" t="s">
        <v>633</v>
      </c>
      <c r="E451" s="153">
        <v>3023</v>
      </c>
      <c r="F451" s="154">
        <v>3013</v>
      </c>
      <c r="G451" s="191">
        <v>413</v>
      </c>
      <c r="H451" s="43" t="s">
        <v>625</v>
      </c>
      <c r="I451" s="43" t="s">
        <v>626</v>
      </c>
    </row>
    <row r="452" spans="1:9" x14ac:dyDescent="0.25">
      <c r="A452" s="10"/>
      <c r="C452" s="32"/>
      <c r="D452" s="190" t="s">
        <v>634</v>
      </c>
      <c r="E452" s="153">
        <v>2068</v>
      </c>
      <c r="F452" s="154">
        <v>2153</v>
      </c>
      <c r="G452" s="191">
        <v>1605</v>
      </c>
      <c r="H452" s="43" t="s">
        <v>625</v>
      </c>
      <c r="I452" s="43" t="s">
        <v>626</v>
      </c>
    </row>
    <row r="453" spans="1:9" x14ac:dyDescent="0.25">
      <c r="A453" s="10"/>
      <c r="C453" s="32"/>
      <c r="D453" s="190" t="s">
        <v>635</v>
      </c>
      <c r="E453" s="153">
        <v>553</v>
      </c>
      <c r="F453" s="154">
        <v>247</v>
      </c>
      <c r="G453" s="191">
        <v>67</v>
      </c>
      <c r="H453" s="43" t="s">
        <v>625</v>
      </c>
      <c r="I453" s="43" t="s">
        <v>626</v>
      </c>
    </row>
    <row r="454" spans="1:9" s="44" customFormat="1" x14ac:dyDescent="0.25">
      <c r="A454" s="39"/>
      <c r="B454"/>
      <c r="C454" s="32"/>
      <c r="D454" s="190" t="s">
        <v>636</v>
      </c>
      <c r="E454" s="153">
        <v>25398</v>
      </c>
      <c r="F454" s="154">
        <v>24494</v>
      </c>
      <c r="G454" s="191">
        <v>9074</v>
      </c>
      <c r="H454" s="43" t="s">
        <v>625</v>
      </c>
      <c r="I454" s="43" t="s">
        <v>626</v>
      </c>
    </row>
    <row r="455" spans="1:9" x14ac:dyDescent="0.25">
      <c r="A455" s="10"/>
      <c r="C455" s="32"/>
      <c r="D455" s="190" t="s">
        <v>637</v>
      </c>
      <c r="E455" s="153">
        <v>9584</v>
      </c>
      <c r="F455" s="154">
        <v>8976</v>
      </c>
      <c r="G455" s="191">
        <v>6191</v>
      </c>
      <c r="H455" s="43" t="s">
        <v>625</v>
      </c>
      <c r="I455" s="43" t="s">
        <v>626</v>
      </c>
    </row>
    <row r="456" spans="1:9" x14ac:dyDescent="0.25">
      <c r="A456" s="10"/>
      <c r="B456" s="44"/>
      <c r="C456" s="32"/>
      <c r="D456" s="391" t="s">
        <v>638</v>
      </c>
      <c r="E456" s="392">
        <f>SUM(E446:E455,E443)</f>
        <v>75119</v>
      </c>
      <c r="F456" s="399">
        <f>SUM(F446:F455,F443)</f>
        <v>71920</v>
      </c>
      <c r="G456" s="393">
        <f>SUM(G446:G455,G443)</f>
        <v>39031</v>
      </c>
      <c r="H456" s="536"/>
      <c r="I456" s="536"/>
    </row>
    <row r="457" spans="1:9" x14ac:dyDescent="0.25">
      <c r="A457" s="10"/>
      <c r="C457" s="32"/>
      <c r="D457" s="190"/>
      <c r="E457" s="153"/>
      <c r="F457" s="154"/>
      <c r="G457" s="191"/>
      <c r="H457" s="128"/>
      <c r="I457" s="128"/>
    </row>
    <row r="458" spans="1:9" x14ac:dyDescent="0.25">
      <c r="A458" s="10"/>
      <c r="C458" s="32"/>
      <c r="D458" s="190"/>
      <c r="E458" s="153"/>
      <c r="F458" s="154"/>
      <c r="G458" s="191"/>
      <c r="H458" s="128"/>
      <c r="I458" s="128"/>
    </row>
    <row r="459" spans="1:9" x14ac:dyDescent="0.25">
      <c r="A459" s="10"/>
      <c r="C459" s="32"/>
      <c r="D459" s="210" t="s">
        <v>639</v>
      </c>
      <c r="E459" s="153"/>
      <c r="F459" s="154"/>
      <c r="G459" s="191"/>
      <c r="H459" s="128"/>
      <c r="I459" s="128"/>
    </row>
    <row r="460" spans="1:9" x14ac:dyDescent="0.25">
      <c r="A460" s="10"/>
      <c r="C460" s="32"/>
      <c r="D460" s="190" t="s">
        <v>631</v>
      </c>
      <c r="E460" s="153">
        <v>0</v>
      </c>
      <c r="F460" s="154">
        <v>359</v>
      </c>
      <c r="G460" s="191">
        <v>0</v>
      </c>
      <c r="H460" s="43" t="s">
        <v>625</v>
      </c>
      <c r="I460" s="43" t="s">
        <v>640</v>
      </c>
    </row>
    <row r="461" spans="1:9" x14ac:dyDescent="0.25">
      <c r="A461" s="10"/>
      <c r="C461" s="32"/>
      <c r="D461" s="190" t="s">
        <v>632</v>
      </c>
      <c r="E461" s="153">
        <v>0</v>
      </c>
      <c r="F461" s="154">
        <v>521</v>
      </c>
      <c r="G461" s="191">
        <v>0</v>
      </c>
      <c r="H461" s="43" t="s">
        <v>625</v>
      </c>
      <c r="I461" s="43" t="s">
        <v>640</v>
      </c>
    </row>
    <row r="462" spans="1:9" x14ac:dyDescent="0.25">
      <c r="A462" s="10"/>
      <c r="C462" s="32"/>
      <c r="D462" s="190" t="s">
        <v>635</v>
      </c>
      <c r="E462" s="153">
        <v>2696</v>
      </c>
      <c r="F462" s="154">
        <v>2348</v>
      </c>
      <c r="G462" s="191">
        <v>1743</v>
      </c>
      <c r="H462" s="43" t="s">
        <v>625</v>
      </c>
      <c r="I462" s="43" t="s">
        <v>640</v>
      </c>
    </row>
    <row r="463" spans="1:9" x14ac:dyDescent="0.25">
      <c r="A463" s="10"/>
      <c r="C463" s="32"/>
      <c r="D463" s="190" t="s">
        <v>641</v>
      </c>
      <c r="E463" s="153">
        <v>134</v>
      </c>
      <c r="F463" s="154">
        <v>79</v>
      </c>
      <c r="G463" s="191">
        <v>297</v>
      </c>
      <c r="H463" s="43" t="s">
        <v>625</v>
      </c>
      <c r="I463" s="43" t="s">
        <v>640</v>
      </c>
    </row>
    <row r="464" spans="1:9" x14ac:dyDescent="0.25">
      <c r="A464" s="10"/>
      <c r="C464" s="32"/>
      <c r="D464" s="190" t="s">
        <v>642</v>
      </c>
      <c r="E464" s="153">
        <v>11</v>
      </c>
      <c r="F464" s="154">
        <v>5</v>
      </c>
      <c r="G464" s="191">
        <v>6</v>
      </c>
      <c r="H464" s="43" t="s">
        <v>625</v>
      </c>
      <c r="I464" s="43" t="s">
        <v>640</v>
      </c>
    </row>
    <row r="465" spans="1:9" x14ac:dyDescent="0.25">
      <c r="A465" s="10"/>
      <c r="C465" s="32"/>
      <c r="D465" s="391" t="s">
        <v>643</v>
      </c>
      <c r="E465" s="392">
        <f>SUM(E460:E464)</f>
        <v>2841</v>
      </c>
      <c r="F465" s="399">
        <f>SUM(F460:F464)</f>
        <v>3312</v>
      </c>
      <c r="G465" s="393">
        <f>SUM(G460:G464)</f>
        <v>2046</v>
      </c>
      <c r="H465" s="536"/>
      <c r="I465" s="536"/>
    </row>
    <row r="466" spans="1:9" x14ac:dyDescent="0.25">
      <c r="A466" s="10"/>
      <c r="C466" s="32"/>
      <c r="D466" s="190"/>
      <c r="E466" s="153"/>
      <c r="F466" s="154"/>
      <c r="G466" s="191"/>
      <c r="H466" s="128"/>
      <c r="I466" s="128"/>
    </row>
    <row r="467" spans="1:9" x14ac:dyDescent="0.25">
      <c r="A467" s="10"/>
      <c r="C467" s="32"/>
      <c r="D467" s="190"/>
      <c r="E467" s="153"/>
      <c r="F467" s="154"/>
      <c r="G467" s="191"/>
      <c r="H467" s="128"/>
      <c r="I467" s="128"/>
    </row>
    <row r="468" spans="1:9" x14ac:dyDescent="0.25">
      <c r="A468" s="10"/>
      <c r="C468" s="32"/>
      <c r="D468" s="210" t="s">
        <v>644</v>
      </c>
      <c r="E468" s="153"/>
      <c r="F468" s="154"/>
      <c r="G468" s="191"/>
      <c r="H468" s="128"/>
      <c r="I468" s="128"/>
    </row>
    <row r="469" spans="1:9" x14ac:dyDescent="0.25">
      <c r="A469" s="10"/>
      <c r="C469" s="32"/>
      <c r="D469" s="190" t="s">
        <v>636</v>
      </c>
      <c r="E469" s="153">
        <v>2624</v>
      </c>
      <c r="F469" s="154">
        <v>14590</v>
      </c>
      <c r="G469" s="191">
        <v>0</v>
      </c>
      <c r="H469" s="43" t="s">
        <v>645</v>
      </c>
      <c r="I469" s="43" t="s">
        <v>646</v>
      </c>
    </row>
    <row r="470" spans="1:9" x14ac:dyDescent="0.25">
      <c r="A470" s="10"/>
      <c r="C470" s="32"/>
      <c r="D470" s="190" t="s">
        <v>647</v>
      </c>
      <c r="E470" s="153">
        <v>9</v>
      </c>
      <c r="F470" s="154">
        <v>185</v>
      </c>
      <c r="G470" s="191">
        <v>0</v>
      </c>
      <c r="H470" s="43" t="s">
        <v>645</v>
      </c>
      <c r="I470" s="43" t="s">
        <v>646</v>
      </c>
    </row>
    <row r="471" spans="1:9" x14ac:dyDescent="0.25">
      <c r="A471" s="10"/>
      <c r="C471" s="32"/>
      <c r="D471" s="391" t="s">
        <v>648</v>
      </c>
      <c r="E471" s="392">
        <f>SUM(E469:E470)</f>
        <v>2633</v>
      </c>
      <c r="F471" s="399">
        <f>SUM(F469:F470)</f>
        <v>14775</v>
      </c>
      <c r="G471" s="393">
        <f>SUM(G469:G470)</f>
        <v>0</v>
      </c>
      <c r="H471" s="536"/>
      <c r="I471" s="536"/>
    </row>
    <row r="472" spans="1:9" x14ac:dyDescent="0.25">
      <c r="A472" s="10"/>
      <c r="C472" s="32"/>
      <c r="D472" s="190"/>
      <c r="E472" s="153"/>
      <c r="F472" s="154"/>
      <c r="G472" s="191"/>
      <c r="H472" s="128"/>
      <c r="I472" s="128"/>
    </row>
    <row r="473" spans="1:9" x14ac:dyDescent="0.25">
      <c r="A473" s="10"/>
      <c r="C473" s="32"/>
      <c r="D473" s="391" t="s">
        <v>649</v>
      </c>
      <c r="E473" s="392">
        <f>SUM(E471,E465,E456)</f>
        <v>80593</v>
      </c>
      <c r="F473" s="399">
        <f>SUM(F471,F465,F456)</f>
        <v>90007</v>
      </c>
      <c r="G473" s="393">
        <f>SUM(G471,G465,G456)</f>
        <v>41077</v>
      </c>
      <c r="H473" s="537" t="s">
        <v>650</v>
      </c>
      <c r="I473" s="538" t="s">
        <v>651</v>
      </c>
    </row>
    <row r="474" spans="1:9" x14ac:dyDescent="0.25">
      <c r="A474" s="10"/>
      <c r="C474" s="32"/>
      <c r="D474" s="190"/>
      <c r="E474" s="153"/>
      <c r="F474" s="154"/>
      <c r="G474" s="191"/>
      <c r="H474" s="128"/>
      <c r="I474" s="128"/>
    </row>
    <row r="475" spans="1:9" x14ac:dyDescent="0.25">
      <c r="A475" s="10"/>
      <c r="C475" s="32"/>
      <c r="D475" s="190"/>
      <c r="E475" s="153"/>
      <c r="F475" s="154"/>
      <c r="G475" s="191"/>
      <c r="H475" s="128"/>
      <c r="I475" s="128"/>
    </row>
    <row r="476" spans="1:9" x14ac:dyDescent="0.25">
      <c r="A476" s="10"/>
      <c r="C476" s="32"/>
      <c r="D476" s="190"/>
      <c r="E476" s="153"/>
      <c r="F476" s="154"/>
      <c r="G476" s="191"/>
      <c r="H476" s="128"/>
      <c r="I476" s="128"/>
    </row>
    <row r="477" spans="1:9" x14ac:dyDescent="0.25">
      <c r="A477" s="10"/>
      <c r="C477" s="32"/>
      <c r="D477" s="210" t="s">
        <v>652</v>
      </c>
      <c r="E477" s="153"/>
      <c r="F477" s="154"/>
      <c r="G477" s="191"/>
      <c r="H477" s="128"/>
      <c r="I477" s="128"/>
    </row>
    <row r="478" spans="1:9" x14ac:dyDescent="0.25">
      <c r="A478" s="10"/>
      <c r="C478" s="32"/>
      <c r="D478" s="190" t="s">
        <v>628</v>
      </c>
      <c r="E478" s="153">
        <v>243</v>
      </c>
      <c r="F478" s="154">
        <v>278</v>
      </c>
      <c r="G478" s="191">
        <v>170</v>
      </c>
      <c r="H478" s="43" t="s">
        <v>653</v>
      </c>
      <c r="I478" s="43" t="s">
        <v>654</v>
      </c>
    </row>
    <row r="479" spans="1:9" x14ac:dyDescent="0.25">
      <c r="A479" s="10"/>
      <c r="C479" s="32"/>
      <c r="D479" s="190" t="s">
        <v>629</v>
      </c>
      <c r="E479" s="153">
        <v>352</v>
      </c>
      <c r="F479" s="154">
        <v>271</v>
      </c>
      <c r="G479" s="191">
        <v>252</v>
      </c>
      <c r="H479" s="43" t="s">
        <v>653</v>
      </c>
      <c r="I479" s="43" t="s">
        <v>654</v>
      </c>
    </row>
    <row r="480" spans="1:9" x14ac:dyDescent="0.25">
      <c r="A480" s="10"/>
      <c r="C480" s="32"/>
      <c r="D480" s="190" t="s">
        <v>630</v>
      </c>
      <c r="E480" s="153">
        <v>18</v>
      </c>
      <c r="F480" s="154">
        <v>18</v>
      </c>
      <c r="G480" s="191">
        <v>0</v>
      </c>
      <c r="H480" s="43" t="s">
        <v>653</v>
      </c>
      <c r="I480" s="43" t="s">
        <v>654</v>
      </c>
    </row>
    <row r="481" spans="1:9" x14ac:dyDescent="0.25">
      <c r="A481" s="10"/>
      <c r="C481" s="32"/>
      <c r="D481" s="190" t="s">
        <v>631</v>
      </c>
      <c r="E481" s="153">
        <v>6373</v>
      </c>
      <c r="F481" s="154">
        <v>6013</v>
      </c>
      <c r="G481" s="191">
        <v>1543</v>
      </c>
      <c r="H481" s="43" t="s">
        <v>653</v>
      </c>
      <c r="I481" s="43" t="s">
        <v>654</v>
      </c>
    </row>
    <row r="482" spans="1:9" x14ac:dyDescent="0.25">
      <c r="A482" s="10"/>
      <c r="C482" s="32"/>
      <c r="D482" s="190" t="s">
        <v>632</v>
      </c>
      <c r="E482" s="153">
        <v>3375</v>
      </c>
      <c r="F482" s="154">
        <v>2936</v>
      </c>
      <c r="G482" s="191">
        <v>1386</v>
      </c>
      <c r="H482" s="43" t="s">
        <v>653</v>
      </c>
      <c r="I482" s="43" t="s">
        <v>654</v>
      </c>
    </row>
    <row r="483" spans="1:9" x14ac:dyDescent="0.25">
      <c r="A483" s="10"/>
      <c r="C483" s="32"/>
      <c r="D483" s="190" t="s">
        <v>633</v>
      </c>
      <c r="E483" s="153">
        <v>333</v>
      </c>
      <c r="F483" s="154">
        <v>351</v>
      </c>
      <c r="G483" s="191">
        <v>0</v>
      </c>
      <c r="H483" s="43" t="s">
        <v>653</v>
      </c>
      <c r="I483" s="43" t="s">
        <v>654</v>
      </c>
    </row>
    <row r="484" spans="1:9" x14ac:dyDescent="0.25">
      <c r="A484" s="10"/>
      <c r="C484" s="32"/>
      <c r="D484" s="190" t="s">
        <v>634</v>
      </c>
      <c r="E484" s="153">
        <v>896</v>
      </c>
      <c r="F484" s="154">
        <v>1197</v>
      </c>
      <c r="G484" s="191">
        <v>0</v>
      </c>
      <c r="H484" s="43" t="s">
        <v>653</v>
      </c>
      <c r="I484" s="43" t="s">
        <v>654</v>
      </c>
    </row>
    <row r="485" spans="1:9" x14ac:dyDescent="0.25">
      <c r="A485" s="10"/>
      <c r="C485" s="32"/>
      <c r="D485" s="190" t="s">
        <v>393</v>
      </c>
      <c r="E485" s="153">
        <v>73</v>
      </c>
      <c r="F485" s="154">
        <v>98</v>
      </c>
      <c r="G485" s="191">
        <v>0</v>
      </c>
      <c r="H485" s="43" t="s">
        <v>653</v>
      </c>
      <c r="I485" s="43" t="s">
        <v>654</v>
      </c>
    </row>
    <row r="486" spans="1:9" x14ac:dyDescent="0.25">
      <c r="A486" s="10"/>
      <c r="C486" s="32"/>
      <c r="D486" s="190" t="s">
        <v>635</v>
      </c>
      <c r="E486" s="153">
        <v>16078</v>
      </c>
      <c r="F486" s="154">
        <v>14252</v>
      </c>
      <c r="G486" s="191">
        <v>6486</v>
      </c>
      <c r="H486" s="43" t="s">
        <v>653</v>
      </c>
      <c r="I486" s="43" t="s">
        <v>654</v>
      </c>
    </row>
    <row r="487" spans="1:9" x14ac:dyDescent="0.25">
      <c r="A487" s="10"/>
      <c r="C487" s="32"/>
      <c r="D487" s="190" t="s">
        <v>636</v>
      </c>
      <c r="E487" s="153">
        <v>1421</v>
      </c>
      <c r="F487" s="154">
        <v>1357</v>
      </c>
      <c r="G487" s="191">
        <v>0</v>
      </c>
      <c r="H487" s="43" t="s">
        <v>653</v>
      </c>
      <c r="I487" s="43" t="s">
        <v>654</v>
      </c>
    </row>
    <row r="488" spans="1:9" x14ac:dyDescent="0.25">
      <c r="A488" s="10"/>
      <c r="C488" s="32"/>
      <c r="D488" s="190" t="s">
        <v>637</v>
      </c>
      <c r="E488" s="153">
        <v>245</v>
      </c>
      <c r="F488" s="154">
        <v>208</v>
      </c>
      <c r="G488" s="191">
        <v>0</v>
      </c>
      <c r="H488" s="43" t="s">
        <v>653</v>
      </c>
      <c r="I488" s="43" t="s">
        <v>654</v>
      </c>
    </row>
    <row r="489" spans="1:9" x14ac:dyDescent="0.25">
      <c r="A489" s="10"/>
      <c r="C489" s="32"/>
      <c r="D489" s="190" t="s">
        <v>655</v>
      </c>
      <c r="E489" s="153">
        <v>3617</v>
      </c>
      <c r="F489" s="154">
        <v>3375</v>
      </c>
      <c r="G489" s="191">
        <v>76</v>
      </c>
      <c r="H489" s="43" t="s">
        <v>653</v>
      </c>
      <c r="I489" s="43" t="s">
        <v>654</v>
      </c>
    </row>
    <row r="490" spans="1:9" x14ac:dyDescent="0.25">
      <c r="A490" s="10"/>
      <c r="C490" s="32"/>
      <c r="D490" s="391" t="s">
        <v>656</v>
      </c>
      <c r="E490" s="539">
        <f>SUM(E478:E489)</f>
        <v>33024</v>
      </c>
      <c r="F490" s="540">
        <f>SUM(F478:F489)</f>
        <v>30354</v>
      </c>
      <c r="G490" s="540">
        <f>SUM(G478:G489)</f>
        <v>9913</v>
      </c>
      <c r="H490" s="541" t="s">
        <v>657</v>
      </c>
      <c r="I490" s="538" t="s">
        <v>658</v>
      </c>
    </row>
    <row r="491" spans="1:9" x14ac:dyDescent="0.25">
      <c r="A491" s="10"/>
      <c r="C491" s="32"/>
      <c r="D491" s="190"/>
      <c r="E491" s="153"/>
      <c r="F491" s="154"/>
      <c r="G491" s="191"/>
      <c r="H491" s="128"/>
      <c r="I491" s="128"/>
    </row>
    <row r="492" spans="1:9" x14ac:dyDescent="0.25">
      <c r="A492" s="10"/>
      <c r="C492" s="32"/>
      <c r="D492" s="190"/>
      <c r="E492" s="153"/>
      <c r="F492" s="154"/>
      <c r="G492" s="191"/>
      <c r="H492" s="128"/>
      <c r="I492" s="128"/>
    </row>
    <row r="493" spans="1:9" x14ac:dyDescent="0.25">
      <c r="A493" s="10"/>
      <c r="C493" s="32"/>
      <c r="D493" s="210" t="s">
        <v>659</v>
      </c>
      <c r="E493" s="153"/>
      <c r="F493" s="154"/>
      <c r="G493" s="191"/>
      <c r="H493" s="128"/>
      <c r="I493" s="128"/>
    </row>
    <row r="494" spans="1:9" x14ac:dyDescent="0.25">
      <c r="A494" s="10"/>
      <c r="C494" s="32"/>
      <c r="D494" s="190" t="s">
        <v>660</v>
      </c>
      <c r="E494" s="153">
        <v>46</v>
      </c>
      <c r="F494" s="154">
        <v>57</v>
      </c>
      <c r="G494" s="191">
        <v>80</v>
      </c>
      <c r="H494" s="43" t="s">
        <v>661</v>
      </c>
      <c r="I494" s="43" t="s">
        <v>662</v>
      </c>
    </row>
    <row r="495" spans="1:9" x14ac:dyDescent="0.25">
      <c r="A495" s="10"/>
      <c r="C495" s="32"/>
      <c r="D495" s="535" t="s">
        <v>663</v>
      </c>
      <c r="E495" s="153"/>
      <c r="F495" s="154"/>
      <c r="G495" s="191"/>
      <c r="H495" s="43"/>
      <c r="I495" s="128"/>
    </row>
    <row r="496" spans="1:9" x14ac:dyDescent="0.25">
      <c r="A496" s="10"/>
      <c r="C496" s="32"/>
      <c r="D496" s="190" t="s">
        <v>664</v>
      </c>
      <c r="E496" s="153">
        <v>10644</v>
      </c>
      <c r="F496" s="154">
        <v>11655</v>
      </c>
      <c r="G496" s="191">
        <v>5116</v>
      </c>
      <c r="H496" s="43" t="s">
        <v>661</v>
      </c>
      <c r="I496" s="43" t="s">
        <v>662</v>
      </c>
    </row>
    <row r="497" spans="1:9" x14ac:dyDescent="0.25">
      <c r="A497" s="10"/>
      <c r="C497" s="32"/>
      <c r="D497" s="190" t="s">
        <v>665</v>
      </c>
      <c r="E497" s="153">
        <v>704</v>
      </c>
      <c r="F497" s="154">
        <v>709</v>
      </c>
      <c r="G497" s="191">
        <v>275</v>
      </c>
      <c r="H497" s="43" t="s">
        <v>661</v>
      </c>
      <c r="I497" s="43" t="s">
        <v>662</v>
      </c>
    </row>
    <row r="498" spans="1:9" x14ac:dyDescent="0.25">
      <c r="A498" s="10"/>
      <c r="C498" s="32"/>
      <c r="D498" s="190" t="s">
        <v>666</v>
      </c>
      <c r="E498" s="153">
        <v>52</v>
      </c>
      <c r="F498" s="154">
        <v>78</v>
      </c>
      <c r="G498" s="191">
        <v>215</v>
      </c>
      <c r="H498" s="43" t="s">
        <v>661</v>
      </c>
      <c r="I498" s="43" t="s">
        <v>662</v>
      </c>
    </row>
    <row r="499" spans="1:9" x14ac:dyDescent="0.25">
      <c r="A499" s="10"/>
      <c r="C499" s="32"/>
      <c r="D499" s="190" t="s">
        <v>667</v>
      </c>
      <c r="E499" s="153">
        <v>277</v>
      </c>
      <c r="F499" s="154">
        <v>358</v>
      </c>
      <c r="G499" s="191">
        <v>44</v>
      </c>
      <c r="H499" s="43" t="s">
        <v>661</v>
      </c>
      <c r="I499" s="43" t="s">
        <v>662</v>
      </c>
    </row>
    <row r="500" spans="1:9" x14ac:dyDescent="0.25">
      <c r="A500" s="10"/>
      <c r="C500" s="32"/>
      <c r="D500" s="190" t="s">
        <v>668</v>
      </c>
      <c r="E500" s="153">
        <v>44</v>
      </c>
      <c r="F500" s="154">
        <v>49</v>
      </c>
      <c r="G500" s="191">
        <v>31</v>
      </c>
      <c r="H500" s="43" t="s">
        <v>661</v>
      </c>
      <c r="I500" s="43" t="s">
        <v>662</v>
      </c>
    </row>
    <row r="501" spans="1:9" x14ac:dyDescent="0.25">
      <c r="A501" s="10"/>
      <c r="C501" s="32"/>
      <c r="D501" s="190" t="s">
        <v>669</v>
      </c>
      <c r="E501" s="153">
        <v>0</v>
      </c>
      <c r="F501" s="154">
        <v>0</v>
      </c>
      <c r="G501" s="191">
        <v>0</v>
      </c>
      <c r="H501" s="43" t="s">
        <v>661</v>
      </c>
      <c r="I501" s="43" t="s">
        <v>662</v>
      </c>
    </row>
    <row r="502" spans="1:9" x14ac:dyDescent="0.25">
      <c r="A502" s="10"/>
      <c r="C502" s="32"/>
      <c r="D502" s="391" t="s">
        <v>416</v>
      </c>
      <c r="E502" s="392">
        <f>SUM(E496:E501,E494)</f>
        <v>11767</v>
      </c>
      <c r="F502" s="399">
        <f>SUM(F496:F501,F494)</f>
        <v>12906</v>
      </c>
      <c r="G502" s="399">
        <f>SUM(G496:G501,G494)</f>
        <v>5761</v>
      </c>
      <c r="H502" s="537" t="s">
        <v>650</v>
      </c>
      <c r="I502" s="538" t="s">
        <v>670</v>
      </c>
    </row>
    <row r="503" spans="1:9" x14ac:dyDescent="0.25">
      <c r="A503" s="10"/>
      <c r="C503" s="32"/>
      <c r="D503" s="210"/>
      <c r="E503" s="117"/>
      <c r="F503" s="118"/>
      <c r="G503" s="119"/>
      <c r="H503" s="542"/>
      <c r="I503" s="542"/>
    </row>
    <row r="504" spans="1:9" x14ac:dyDescent="0.25">
      <c r="A504" s="10"/>
      <c r="C504" s="32"/>
      <c r="D504" s="190"/>
      <c r="E504" s="153"/>
      <c r="F504" s="154"/>
      <c r="G504" s="191"/>
      <c r="H504" s="128"/>
      <c r="I504" s="128"/>
    </row>
    <row r="505" spans="1:9" x14ac:dyDescent="0.25">
      <c r="A505" s="10"/>
      <c r="C505" s="32"/>
      <c r="D505" s="190"/>
      <c r="E505" s="153"/>
      <c r="F505" s="154"/>
      <c r="G505" s="191"/>
      <c r="H505" s="128"/>
      <c r="I505" s="128"/>
    </row>
    <row r="506" spans="1:9" x14ac:dyDescent="0.25">
      <c r="A506" s="10"/>
      <c r="C506" s="32"/>
      <c r="D506" s="190"/>
      <c r="E506" s="153"/>
      <c r="F506" s="154"/>
      <c r="G506" s="191"/>
      <c r="H506" s="128"/>
      <c r="I506" s="128"/>
    </row>
    <row r="507" spans="1:9" x14ac:dyDescent="0.25">
      <c r="A507" s="10"/>
      <c r="C507" s="32"/>
      <c r="D507" s="391" t="s">
        <v>403</v>
      </c>
      <c r="E507" s="392">
        <f>SUM(E473,E439,E490,E502)</f>
        <v>128748</v>
      </c>
      <c r="F507" s="543">
        <f>SUM(F473,F439,F490,F502)</f>
        <v>136318</v>
      </c>
      <c r="G507" s="543">
        <f>SUM(G473,G439,G490,G502)</f>
        <v>57415</v>
      </c>
      <c r="H507" s="544"/>
      <c r="I507" s="544"/>
    </row>
    <row r="508" spans="1:9" x14ac:dyDescent="0.25">
      <c r="C508" s="32"/>
      <c r="D508" s="190"/>
      <c r="E508" s="153"/>
      <c r="F508" s="154"/>
      <c r="G508" s="191"/>
      <c r="H508" s="128"/>
      <c r="I508" s="128"/>
    </row>
    <row r="509" spans="1:9" x14ac:dyDescent="0.25">
      <c r="C509" s="11"/>
      <c r="D509" s="378"/>
      <c r="E509" s="532"/>
      <c r="F509" s="380"/>
      <c r="G509" s="533"/>
      <c r="H509" s="534"/>
      <c r="I509" s="382"/>
    </row>
  </sheetData>
  <dataConsolidate/>
  <mergeCells count="2">
    <mergeCell ref="B1:D2"/>
    <mergeCell ref="E5:G5"/>
  </mergeCells>
  <conditionalFormatting sqref="E41:G43 E47:G47 E50:G51 E55:G55 E58:G58 F59 E60:G60">
    <cfRule type="containsText" dxfId="83" priority="1" operator="containsText" text="FALSE">
      <formula>NOT(ISERROR(SEARCH("FALSE",E41)))</formula>
    </cfRule>
    <cfRule type="containsText" dxfId="82" priority="2" operator="containsText" text="TRUE">
      <formula>NOT(ISERROR(SEARCH("TRUE",E41)))</formula>
    </cfRule>
  </conditionalFormatting>
  <conditionalFormatting sqref="E63:G63">
    <cfRule type="containsText" dxfId="81" priority="3" operator="containsText" text="FALSE">
      <formula>NOT(ISERROR(SEARCH("FALSE",E63)))</formula>
    </cfRule>
    <cfRule type="containsText" dxfId="80" priority="4" operator="containsText" text="TRUE">
      <formula>NOT(ISERROR(SEARCH("TRUE",E63)))</formula>
    </cfRule>
  </conditionalFormatting>
  <conditionalFormatting sqref="E118:G121">
    <cfRule type="containsText" dxfId="79" priority="7" operator="containsText" text="FALSE">
      <formula>NOT(ISERROR(SEARCH("FALSE",E118)))</formula>
    </cfRule>
    <cfRule type="containsText" dxfId="78" priority="8" operator="containsText" text="TRUE">
      <formula>NOT(ISERROR(SEARCH("TRUE",E118)))</formula>
    </cfRule>
  </conditionalFormatting>
  <conditionalFormatting sqref="E153:G153 E165:G166">
    <cfRule type="containsText" dxfId="77" priority="11" operator="containsText" text="FALSE">
      <formula>NOT(ISERROR(SEARCH("FALSE",E153)))</formula>
    </cfRule>
    <cfRule type="containsText" dxfId="76" priority="12" operator="containsText" text="TRUE">
      <formula>NOT(ISERROR(SEARCH("TRUE",E153)))</formula>
    </cfRule>
  </conditionalFormatting>
  <conditionalFormatting sqref="E155:G156 E244:G244 H410:I410 E410:G425 H412:I425">
    <cfRule type="containsText" dxfId="75" priority="25" operator="containsText" text="FALSE">
      <formula>NOT(ISERROR(SEARCH("FALSE",E155)))</formula>
    </cfRule>
    <cfRule type="containsText" dxfId="74" priority="26" operator="containsText" text="TRUE">
      <formula>NOT(ISERROR(SEARCH("TRUE",E155)))</formula>
    </cfRule>
  </conditionalFormatting>
  <conditionalFormatting sqref="E187:G187">
    <cfRule type="containsText" dxfId="73" priority="9" operator="containsText" text="FALSE">
      <formula>NOT(ISERROR(SEARCH("FALSE",E187)))</formula>
    </cfRule>
    <cfRule type="containsText" dxfId="72" priority="10" operator="containsText" text="TRUE">
      <formula>NOT(ISERROR(SEARCH("TRUE",E187)))</formula>
    </cfRule>
  </conditionalFormatting>
  <conditionalFormatting sqref="E190:G190">
    <cfRule type="containsText" dxfId="71" priority="23" operator="containsText" text="FALSE">
      <formula>NOT(ISERROR(SEARCH("FALSE",E190)))</formula>
    </cfRule>
    <cfRule type="containsText" dxfId="70" priority="24" operator="containsText" text="TRUE">
      <formula>NOT(ISERROR(SEARCH("TRUE",E190)))</formula>
    </cfRule>
  </conditionalFormatting>
  <conditionalFormatting sqref="E204:G207">
    <cfRule type="containsText" dxfId="69" priority="5" operator="containsText" text="FALSE">
      <formula>NOT(ISERROR(SEARCH("FALSE",E204)))</formula>
    </cfRule>
    <cfRule type="containsText" dxfId="68" priority="6" operator="containsText" text="TRUE">
      <formula>NOT(ISERROR(SEARCH("TRUE",E204)))</formula>
    </cfRule>
  </conditionalFormatting>
  <conditionalFormatting sqref="E258:G258">
    <cfRule type="containsText" dxfId="67" priority="21" operator="containsText" text="FALSE">
      <formula>NOT(ISERROR(SEARCH("FALSE",E258)))</formula>
    </cfRule>
    <cfRule type="containsText" dxfId="66" priority="22" operator="containsText" text="TRUE">
      <formula>NOT(ISERROR(SEARCH("TRUE",E258)))</formula>
    </cfRule>
  </conditionalFormatting>
  <conditionalFormatting sqref="E272:G274">
    <cfRule type="containsText" dxfId="65" priority="17" operator="containsText" text="FALSE">
      <formula>NOT(ISERROR(SEARCH("FALSE",E272)))</formula>
    </cfRule>
    <cfRule type="containsText" dxfId="64" priority="18" operator="containsText" text="TRUE">
      <formula>NOT(ISERROR(SEARCH("TRUE",E272)))</formula>
    </cfRule>
  </conditionalFormatting>
  <conditionalFormatting sqref="E342:G343 E364:G364">
    <cfRule type="containsText" dxfId="63" priority="19" operator="containsText" text="FALSE">
      <formula>NOT(ISERROR(SEARCH("FALSE",E342)))</formula>
    </cfRule>
    <cfRule type="containsText" dxfId="62" priority="20" operator="containsText" text="TRUE">
      <formula>NOT(ISERROR(SEARCH("TRUE",E342)))</formula>
    </cfRule>
  </conditionalFormatting>
  <conditionalFormatting sqref="E375:G376 E383:G383">
    <cfRule type="containsText" dxfId="61" priority="15" operator="containsText" text="FALSE">
      <formula>NOT(ISERROR(SEARCH("FALSE",E375)))</formula>
    </cfRule>
    <cfRule type="containsText" dxfId="60" priority="16" operator="containsText" text="TRUE">
      <formula>NOT(ISERROR(SEARCH("TRUE",E375)))</formula>
    </cfRule>
  </conditionalFormatting>
  <conditionalFormatting sqref="E405:I408">
    <cfRule type="containsText" dxfId="59" priority="13" operator="containsText" text="FALSE">
      <formula>NOT(ISERROR(SEARCH("FALSE",E405)))</formula>
    </cfRule>
    <cfRule type="containsText" dxfId="58" priority="14" operator="containsText" text="TRUE">
      <formula>NOT(ISERROR(SEARCH("TRUE",E405)))</formula>
    </cfRule>
  </conditionalFormatting>
  <dataValidations count="1">
    <dataValidation type="list" allowBlank="1" showInputMessage="1" showErrorMessage="1" sqref="E276:F276" xr:uid="{86088D13-722D-4389-84E0-8A97A7A70B52}">
      <formula1>"Y, N"</formula1>
    </dataValidation>
  </dataValidations>
  <pageMargins left="0.7" right="0.7" top="0.75" bottom="0.75" header="0.3" footer="0.3"/>
  <pageSetup paperSize="9" orientation="portrait" r:id="rId1"/>
  <headerFooter>
    <oddFooter>&amp;C&amp;7&amp;B&amp;"Arial"Document Classification: KPMG Confidential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05589-E0ED-4308-8280-DA9009640D0A}">
  <sheetPr>
    <tabColor rgb="FF0070C0"/>
  </sheetPr>
  <dimension ref="A1:L343"/>
  <sheetViews>
    <sheetView showGridLines="0" topLeftCell="A104" zoomScale="85" workbookViewId="0">
      <selection activeCell="E114" sqref="E114"/>
    </sheetView>
  </sheetViews>
  <sheetFormatPr defaultColWidth="9.140625" defaultRowHeight="15" x14ac:dyDescent="0.25"/>
  <cols>
    <col min="1" max="1" width="9.140625" customWidth="1"/>
    <col min="2" max="2" width="7.85546875" customWidth="1"/>
    <col min="3" max="3" width="5.28515625" customWidth="1"/>
    <col min="4" max="4" width="78.7109375" customWidth="1"/>
    <col min="5" max="5" width="24.42578125" customWidth="1"/>
    <col min="6" max="7" width="17.5703125" customWidth="1"/>
    <col min="8" max="8" width="19.7109375" bestFit="1" customWidth="1"/>
    <col min="9" max="9" width="130.5703125" style="428" bestFit="1" customWidth="1"/>
    <col min="10" max="14" width="17.5703125" customWidth="1"/>
    <col min="16" max="16" width="14.140625" customWidth="1"/>
  </cols>
  <sheetData>
    <row r="1" spans="1:11" ht="15.75" customHeight="1" x14ac:dyDescent="0.25">
      <c r="A1" s="1"/>
      <c r="B1" s="2" t="s">
        <v>671</v>
      </c>
      <c r="C1" s="2"/>
      <c r="D1" s="2"/>
      <c r="E1" s="547"/>
      <c r="F1" s="548"/>
      <c r="G1" s="549"/>
      <c r="H1" s="549"/>
      <c r="I1" s="430"/>
    </row>
    <row r="2" spans="1:11" ht="11.25" customHeight="1" x14ac:dyDescent="0.25">
      <c r="A2" s="1"/>
      <c r="B2" s="2"/>
      <c r="C2" s="2"/>
      <c r="D2" s="2"/>
      <c r="E2" s="547"/>
      <c r="F2" s="548"/>
      <c r="G2" s="549"/>
      <c r="H2" s="549"/>
      <c r="I2" s="430"/>
    </row>
    <row r="3" spans="1:11" ht="24" customHeight="1" x14ac:dyDescent="0.25">
      <c r="A3" s="5"/>
      <c r="B3" s="6" t="s">
        <v>1</v>
      </c>
      <c r="C3" s="6"/>
      <c r="D3" s="7"/>
      <c r="E3" s="6"/>
      <c r="F3" s="550"/>
      <c r="G3" s="551"/>
      <c r="H3" s="551"/>
      <c r="I3" s="432"/>
    </row>
    <row r="4" spans="1:11" x14ac:dyDescent="0.25">
      <c r="A4" s="10"/>
      <c r="B4" s="11"/>
      <c r="C4" s="11"/>
      <c r="D4" s="12"/>
      <c r="E4" s="11"/>
      <c r="F4" s="552"/>
      <c r="G4" s="553"/>
      <c r="H4" s="553"/>
      <c r="I4" s="16"/>
    </row>
    <row r="5" spans="1:11" x14ac:dyDescent="0.25">
      <c r="A5" s="10"/>
      <c r="B5" s="11"/>
      <c r="C5" s="11"/>
      <c r="D5" s="554" t="s">
        <v>2</v>
      </c>
      <c r="E5" s="555" t="s">
        <v>672</v>
      </c>
      <c r="F5" s="434"/>
      <c r="G5" s="435"/>
      <c r="H5" s="23" t="s">
        <v>4</v>
      </c>
      <c r="I5" s="21" t="s">
        <v>5</v>
      </c>
    </row>
    <row r="6" spans="1:11" x14ac:dyDescent="0.25">
      <c r="A6" s="10"/>
      <c r="B6" s="11"/>
      <c r="C6" s="11"/>
      <c r="D6" s="554" t="s">
        <v>6</v>
      </c>
      <c r="E6" s="22">
        <v>2024</v>
      </c>
      <c r="F6" s="22">
        <v>2023</v>
      </c>
      <c r="G6" s="22">
        <v>2022</v>
      </c>
      <c r="H6" s="22"/>
      <c r="I6" s="21"/>
    </row>
    <row r="7" spans="1:11" x14ac:dyDescent="0.25">
      <c r="A7" s="10"/>
      <c r="B7" s="25" t="s">
        <v>7</v>
      </c>
      <c r="C7" s="26"/>
      <c r="D7" s="556"/>
      <c r="E7" s="26"/>
      <c r="F7" s="366"/>
      <c r="G7" s="557"/>
      <c r="H7" s="557"/>
      <c r="I7" s="31"/>
    </row>
    <row r="8" spans="1:11" x14ac:dyDescent="0.25">
      <c r="A8" s="10"/>
      <c r="B8" s="11"/>
      <c r="C8" s="32" t="s">
        <v>8</v>
      </c>
      <c r="D8" s="558"/>
      <c r="E8" s="559">
        <f>SUM(E9:E11)</f>
        <v>43919</v>
      </c>
      <c r="F8" s="560">
        <f>SUM(F9:F11)</f>
        <v>41727</v>
      </c>
      <c r="G8" s="561">
        <f>SUM(G9:G11)</f>
        <v>40372</v>
      </c>
      <c r="H8" s="562"/>
      <c r="I8" s="37"/>
    </row>
    <row r="9" spans="1:11" s="44" customFormat="1" x14ac:dyDescent="0.25">
      <c r="A9" s="39"/>
      <c r="B9" s="32"/>
      <c r="C9" s="11"/>
      <c r="D9" s="558" t="s">
        <v>9</v>
      </c>
      <c r="E9" s="563">
        <f>30499-E37</f>
        <v>30513</v>
      </c>
      <c r="F9" s="564">
        <f>29796-F37</f>
        <v>29810</v>
      </c>
      <c r="G9" s="565">
        <f>29789-G37</f>
        <v>29797</v>
      </c>
      <c r="H9" s="451" t="s">
        <v>673</v>
      </c>
      <c r="I9" s="451" t="s">
        <v>674</v>
      </c>
      <c r="J9" s="38">
        <f>F9/F8</f>
        <v>0.71440554077695495</v>
      </c>
      <c r="K9" s="38">
        <f>G9/G8</f>
        <v>0.73806103239869214</v>
      </c>
    </row>
    <row r="10" spans="1:11" s="44" customFormat="1" x14ac:dyDescent="0.25">
      <c r="A10" s="39"/>
      <c r="B10" s="32"/>
      <c r="C10" s="11"/>
      <c r="D10" s="558" t="s">
        <v>12</v>
      </c>
      <c r="E10" s="563">
        <v>13406</v>
      </c>
      <c r="F10" s="564">
        <v>11917</v>
      </c>
      <c r="G10" s="565">
        <v>10575</v>
      </c>
      <c r="H10" s="451" t="s">
        <v>675</v>
      </c>
      <c r="I10" s="451" t="s">
        <v>676</v>
      </c>
      <c r="J10" s="38">
        <f>F10/F8</f>
        <v>0.28559445922304505</v>
      </c>
      <c r="K10" s="38">
        <f>G10/G8</f>
        <v>0.26193896760130786</v>
      </c>
    </row>
    <row r="11" spans="1:11" x14ac:dyDescent="0.25">
      <c r="A11" s="10"/>
      <c r="B11" s="11"/>
      <c r="C11" s="11"/>
      <c r="D11" s="558" t="s">
        <v>13</v>
      </c>
      <c r="E11" s="563">
        <v>0</v>
      </c>
      <c r="F11" s="564">
        <v>0</v>
      </c>
      <c r="G11" s="565">
        <v>0</v>
      </c>
      <c r="H11" s="562"/>
      <c r="I11" s="37"/>
    </row>
    <row r="12" spans="1:11" x14ac:dyDescent="0.25">
      <c r="A12" s="10"/>
      <c r="B12" s="11"/>
      <c r="C12" s="11"/>
      <c r="D12" s="558"/>
      <c r="E12" s="33"/>
      <c r="F12" s="566"/>
      <c r="G12" s="566"/>
      <c r="H12" s="562"/>
      <c r="I12" s="37"/>
    </row>
    <row r="13" spans="1:11" x14ac:dyDescent="0.25">
      <c r="A13" s="10"/>
      <c r="B13" s="11"/>
      <c r="C13" s="32" t="s">
        <v>14</v>
      </c>
      <c r="D13" s="558"/>
      <c r="E13" s="567">
        <f>SUM(E14:E15)</f>
        <v>0</v>
      </c>
      <c r="F13" s="567">
        <f>SUM(F14:F15)</f>
        <v>0</v>
      </c>
      <c r="G13" s="568">
        <f>SUM(G14:G15)</f>
        <v>0</v>
      </c>
      <c r="H13" s="562"/>
      <c r="I13" s="37"/>
    </row>
    <row r="14" spans="1:11" s="44" customFormat="1" x14ac:dyDescent="0.25">
      <c r="A14" s="39"/>
      <c r="B14" s="32"/>
      <c r="C14" s="11"/>
      <c r="D14" s="558" t="s">
        <v>9</v>
      </c>
      <c r="E14" s="563">
        <v>0</v>
      </c>
      <c r="F14" s="564">
        <v>0</v>
      </c>
      <c r="G14" s="565">
        <v>0</v>
      </c>
      <c r="H14" s="562"/>
      <c r="I14" s="37"/>
    </row>
    <row r="15" spans="1:11" s="44" customFormat="1" x14ac:dyDescent="0.25">
      <c r="A15" s="39"/>
      <c r="B15" s="32"/>
      <c r="C15" s="11"/>
      <c r="D15" s="558" t="s">
        <v>13</v>
      </c>
      <c r="E15" s="563">
        <v>0</v>
      </c>
      <c r="F15" s="564">
        <v>0</v>
      </c>
      <c r="G15" s="565">
        <v>0</v>
      </c>
      <c r="H15" s="562"/>
      <c r="I15" s="37"/>
    </row>
    <row r="16" spans="1:11" x14ac:dyDescent="0.25">
      <c r="A16" s="10"/>
      <c r="B16" s="11"/>
      <c r="C16" s="11"/>
      <c r="D16" s="569"/>
      <c r="E16" s="570"/>
      <c r="F16" s="566"/>
      <c r="G16" s="571"/>
      <c r="H16" s="562"/>
      <c r="I16" s="37"/>
    </row>
    <row r="17" spans="1:10" x14ac:dyDescent="0.25">
      <c r="A17" s="10"/>
      <c r="B17" s="11"/>
      <c r="C17" s="32" t="s">
        <v>15</v>
      </c>
      <c r="D17" s="558"/>
      <c r="E17" s="567">
        <f>SUM(E18:E19)</f>
        <v>0</v>
      </c>
      <c r="F17" s="567">
        <f>SUM(F18:F19)</f>
        <v>0</v>
      </c>
      <c r="G17" s="568">
        <f>SUM(G18:G19)</f>
        <v>0</v>
      </c>
      <c r="H17" s="562"/>
      <c r="I17" s="37"/>
    </row>
    <row r="18" spans="1:10" x14ac:dyDescent="0.25">
      <c r="A18" s="10"/>
      <c r="B18" s="11"/>
      <c r="C18" s="11"/>
      <c r="D18" s="558" t="s">
        <v>9</v>
      </c>
      <c r="E18" s="563">
        <v>0</v>
      </c>
      <c r="F18" s="564">
        <v>0</v>
      </c>
      <c r="G18" s="572">
        <v>0</v>
      </c>
      <c r="H18" s="562"/>
      <c r="I18" s="37"/>
    </row>
    <row r="19" spans="1:10" x14ac:dyDescent="0.25">
      <c r="A19" s="10"/>
      <c r="B19" s="11"/>
      <c r="C19" s="11"/>
      <c r="D19" s="558" t="s">
        <v>13</v>
      </c>
      <c r="E19" s="563">
        <v>0</v>
      </c>
      <c r="F19" s="564">
        <v>0</v>
      </c>
      <c r="G19" s="564">
        <v>0</v>
      </c>
      <c r="H19" s="562"/>
      <c r="I19" s="37"/>
    </row>
    <row r="20" spans="1:10" x14ac:dyDescent="0.25">
      <c r="A20" s="10"/>
      <c r="B20" s="11"/>
      <c r="C20" s="11"/>
      <c r="D20" s="558"/>
      <c r="E20" s="33"/>
      <c r="F20" s="573"/>
      <c r="G20" s="566"/>
      <c r="H20" s="562"/>
      <c r="I20" s="37"/>
    </row>
    <row r="21" spans="1:10" x14ac:dyDescent="0.25">
      <c r="A21" s="10"/>
      <c r="B21" s="11"/>
      <c r="C21" s="32" t="s">
        <v>16</v>
      </c>
      <c r="D21" s="558"/>
      <c r="E21" s="568">
        <f>+SUM(E22:E24)</f>
        <v>43919</v>
      </c>
      <c r="F21" s="568">
        <f>+SUM(F22:F24)</f>
        <v>41727</v>
      </c>
      <c r="G21" s="568">
        <f>+SUM(G22:G24)</f>
        <v>40372</v>
      </c>
      <c r="H21" s="574" t="s">
        <v>17</v>
      </c>
      <c r="I21" s="575" t="s">
        <v>17</v>
      </c>
    </row>
    <row r="22" spans="1:10" x14ac:dyDescent="0.25">
      <c r="A22" s="10"/>
      <c r="B22" s="11"/>
      <c r="C22" s="11"/>
      <c r="D22" s="576" t="s">
        <v>9</v>
      </c>
      <c r="E22" s="577">
        <f>SUM(E9,E14,E17)</f>
        <v>30513</v>
      </c>
      <c r="F22" s="578">
        <f>SUM(F9,F14,F17)</f>
        <v>29810</v>
      </c>
      <c r="G22" s="578">
        <f>SUM(G9,G14,G17)</f>
        <v>29797</v>
      </c>
      <c r="H22" s="574" t="s">
        <v>17</v>
      </c>
      <c r="I22" s="48" t="s">
        <v>17</v>
      </c>
    </row>
    <row r="23" spans="1:10" x14ac:dyDescent="0.25">
      <c r="A23" s="10"/>
      <c r="B23" s="11"/>
      <c r="C23" s="11"/>
      <c r="D23" s="576" t="s">
        <v>12</v>
      </c>
      <c r="E23" s="577">
        <f>E10</f>
        <v>13406</v>
      </c>
      <c r="F23" s="578">
        <f>F10</f>
        <v>11917</v>
      </c>
      <c r="G23" s="578">
        <f>G10</f>
        <v>10575</v>
      </c>
      <c r="H23" s="574" t="s">
        <v>17</v>
      </c>
      <c r="I23" s="48" t="s">
        <v>17</v>
      </c>
    </row>
    <row r="24" spans="1:10" x14ac:dyDescent="0.25">
      <c r="A24" s="10"/>
      <c r="B24" s="11"/>
      <c r="C24" s="11"/>
      <c r="D24" s="576" t="s">
        <v>13</v>
      </c>
      <c r="E24" s="577"/>
      <c r="F24" s="578">
        <f>SUM(F11,F15,F19)</f>
        <v>0</v>
      </c>
      <c r="G24" s="578">
        <f>SUM(G11,G15,G19)</f>
        <v>0</v>
      </c>
      <c r="H24" s="574" t="s">
        <v>17</v>
      </c>
      <c r="I24" s="48" t="s">
        <v>17</v>
      </c>
    </row>
    <row r="25" spans="1:10" x14ac:dyDescent="0.25">
      <c r="A25" s="10"/>
      <c r="B25" s="11"/>
      <c r="C25" s="11"/>
      <c r="D25" s="558"/>
      <c r="E25" s="579"/>
      <c r="F25" s="580"/>
      <c r="G25" s="580"/>
      <c r="H25" s="562"/>
      <c r="I25" s="37"/>
    </row>
    <row r="26" spans="1:10" x14ac:dyDescent="0.25">
      <c r="A26" s="10"/>
      <c r="B26" s="11"/>
      <c r="C26" s="11"/>
      <c r="D26" s="581" t="s">
        <v>19</v>
      </c>
      <c r="E26" s="568">
        <f>+SUM(E27:E29)</f>
        <v>43426</v>
      </c>
      <c r="F26" s="568">
        <f>+SUM(F27:F29)</f>
        <v>41230</v>
      </c>
      <c r="G26" s="568">
        <f>+SUM(G27:G29)</f>
        <v>39862</v>
      </c>
      <c r="H26" s="562"/>
      <c r="I26" s="37"/>
    </row>
    <row r="27" spans="1:10" x14ac:dyDescent="0.25">
      <c r="A27" s="10"/>
      <c r="B27" s="11"/>
      <c r="C27" s="11"/>
      <c r="D27" s="582" t="s">
        <v>20</v>
      </c>
      <c r="E27" s="583">
        <f>40970-E32-E37</f>
        <v>40490</v>
      </c>
      <c r="F27" s="584">
        <f>38949-F32-F37</f>
        <v>38466</v>
      </c>
      <c r="G27" s="584">
        <f>37254-G32-G37</f>
        <v>36752</v>
      </c>
      <c r="H27" s="451" t="s">
        <v>677</v>
      </c>
      <c r="I27" s="451" t="s">
        <v>678</v>
      </c>
    </row>
    <row r="28" spans="1:10" x14ac:dyDescent="0.25">
      <c r="A28" s="10"/>
      <c r="B28" s="11"/>
      <c r="C28" s="11"/>
      <c r="D28" s="582" t="s">
        <v>22</v>
      </c>
      <c r="E28" s="583">
        <v>942</v>
      </c>
      <c r="F28" s="584">
        <v>888</v>
      </c>
      <c r="G28" s="584">
        <v>870</v>
      </c>
      <c r="H28" s="451" t="s">
        <v>677</v>
      </c>
      <c r="I28" s="451" t="s">
        <v>679</v>
      </c>
    </row>
    <row r="29" spans="1:10" x14ac:dyDescent="0.25">
      <c r="A29" s="10"/>
      <c r="B29" s="11"/>
      <c r="C29" s="11"/>
      <c r="D29" s="582" t="s">
        <v>23</v>
      </c>
      <c r="E29" s="583">
        <v>1994</v>
      </c>
      <c r="F29" s="584">
        <v>1876</v>
      </c>
      <c r="G29" s="584">
        <v>2240</v>
      </c>
      <c r="H29" s="451" t="s">
        <v>677</v>
      </c>
      <c r="I29" s="451" t="s">
        <v>679</v>
      </c>
      <c r="J29" s="452">
        <f>+(E29-F29)/E29</f>
        <v>5.9177532597793382E-2</v>
      </c>
    </row>
    <row r="30" spans="1:10" x14ac:dyDescent="0.25">
      <c r="A30" s="10"/>
      <c r="B30" s="11"/>
      <c r="C30" s="11"/>
      <c r="D30" s="581" t="s">
        <v>24</v>
      </c>
      <c r="E30" s="568">
        <v>0</v>
      </c>
      <c r="F30" s="568">
        <v>0</v>
      </c>
      <c r="G30" s="568">
        <v>0</v>
      </c>
      <c r="H30" s="562"/>
      <c r="I30" s="585"/>
    </row>
    <row r="31" spans="1:10" x14ac:dyDescent="0.25">
      <c r="A31" s="10"/>
      <c r="B31" s="11"/>
      <c r="C31" s="11"/>
      <c r="D31" s="581" t="s">
        <v>25</v>
      </c>
      <c r="E31" s="568">
        <f>+SUM(E32:E33)</f>
        <v>494</v>
      </c>
      <c r="F31" s="568">
        <f>+SUM(F32:F33)</f>
        <v>497</v>
      </c>
      <c r="G31" s="568">
        <f>+SUM(G32:G33)</f>
        <v>510</v>
      </c>
      <c r="H31" s="562"/>
      <c r="I31" s="37"/>
    </row>
    <row r="32" spans="1:10" x14ac:dyDescent="0.25">
      <c r="A32" s="10"/>
      <c r="B32" s="11"/>
      <c r="C32" s="11"/>
      <c r="D32" s="582" t="s">
        <v>20</v>
      </c>
      <c r="E32" s="583">
        <v>494</v>
      </c>
      <c r="F32" s="584">
        <v>497</v>
      </c>
      <c r="G32" s="584">
        <v>510</v>
      </c>
      <c r="H32" s="451" t="s">
        <v>680</v>
      </c>
      <c r="I32" s="344" t="s">
        <v>681</v>
      </c>
    </row>
    <row r="33" spans="1:9" x14ac:dyDescent="0.25">
      <c r="A33" s="10"/>
      <c r="B33" s="11"/>
      <c r="C33" s="11"/>
      <c r="D33" s="582" t="s">
        <v>22</v>
      </c>
      <c r="E33" s="583">
        <v>0</v>
      </c>
      <c r="F33" s="584">
        <v>0</v>
      </c>
      <c r="G33" s="584">
        <v>0</v>
      </c>
      <c r="H33" s="451" t="s">
        <v>680</v>
      </c>
      <c r="I33" s="344" t="s">
        <v>681</v>
      </c>
    </row>
    <row r="34" spans="1:9" x14ac:dyDescent="0.25">
      <c r="A34" s="10"/>
      <c r="B34" s="11"/>
      <c r="C34" s="11"/>
      <c r="D34" s="581" t="s">
        <v>26</v>
      </c>
      <c r="E34" s="568">
        <f>+SUM(E35:E36)</f>
        <v>0</v>
      </c>
      <c r="F34" s="568">
        <f>+SUM(F35:F36)</f>
        <v>0</v>
      </c>
      <c r="G34" s="568">
        <f>+SUM(G35:G36)</f>
        <v>0</v>
      </c>
      <c r="H34" s="562"/>
      <c r="I34" s="585"/>
    </row>
    <row r="35" spans="1:9" x14ac:dyDescent="0.25">
      <c r="A35" s="10"/>
      <c r="B35" s="11"/>
      <c r="C35" s="11"/>
      <c r="D35" s="582" t="s">
        <v>20</v>
      </c>
      <c r="E35" s="583">
        <v>0</v>
      </c>
      <c r="F35" s="584">
        <v>0</v>
      </c>
      <c r="G35" s="584">
        <v>0</v>
      </c>
      <c r="H35" s="562"/>
      <c r="I35" s="37"/>
    </row>
    <row r="36" spans="1:9" x14ac:dyDescent="0.25">
      <c r="A36" s="10"/>
      <c r="B36" s="11"/>
      <c r="C36" s="11"/>
      <c r="D36" s="582" t="s">
        <v>22</v>
      </c>
      <c r="E36" s="583">
        <v>0</v>
      </c>
      <c r="F36" s="584">
        <v>0</v>
      </c>
      <c r="G36" s="584">
        <v>0</v>
      </c>
      <c r="H36" s="562"/>
      <c r="I36" s="37"/>
    </row>
    <row r="37" spans="1:9" x14ac:dyDescent="0.25">
      <c r="A37" s="10"/>
      <c r="B37" s="11"/>
      <c r="C37" s="11"/>
      <c r="D37" s="581" t="s">
        <v>27</v>
      </c>
      <c r="E37" s="586">
        <v>-14</v>
      </c>
      <c r="F37" s="587">
        <v>-14</v>
      </c>
      <c r="G37" s="568">
        <v>-8</v>
      </c>
      <c r="H37" s="451" t="s">
        <v>682</v>
      </c>
      <c r="I37" s="451" t="s">
        <v>683</v>
      </c>
    </row>
    <row r="38" spans="1:9" x14ac:dyDescent="0.25">
      <c r="A38" s="10"/>
      <c r="B38" s="11"/>
      <c r="C38" s="11"/>
      <c r="D38" s="581" t="s">
        <v>30</v>
      </c>
      <c r="E38" s="49"/>
      <c r="F38" s="580">
        <v>0</v>
      </c>
      <c r="G38" s="580">
        <v>0</v>
      </c>
      <c r="H38" s="562"/>
      <c r="I38" s="585"/>
    </row>
    <row r="39" spans="1:9" ht="15.75" thickBot="1" x14ac:dyDescent="0.3">
      <c r="A39" s="10"/>
      <c r="B39" s="11"/>
      <c r="C39" s="11"/>
      <c r="D39" s="558"/>
      <c r="E39" s="588">
        <f>E26+E30+E31+E37+E38+E34</f>
        <v>43906</v>
      </c>
      <c r="F39" s="589">
        <f>F26+F30+F31+F37+F38+F34</f>
        <v>41713</v>
      </c>
      <c r="G39" s="589">
        <f>G26+G30+G31+G37+G38+G34</f>
        <v>40364</v>
      </c>
      <c r="H39" s="562"/>
      <c r="I39" s="37"/>
    </row>
    <row r="40" spans="1:9" ht="15.75" thickTop="1" x14ac:dyDescent="0.25">
      <c r="A40" s="10"/>
      <c r="B40" s="11"/>
      <c r="C40" s="11"/>
      <c r="D40" s="558"/>
      <c r="E40" s="590" t="b">
        <f>E21=(E39-E37-E38)</f>
        <v>0</v>
      </c>
      <c r="F40" s="591" t="b">
        <f>F21=(F39-F37-F38)</f>
        <v>1</v>
      </c>
      <c r="G40" s="592" t="b">
        <f>G21=(G39-G37-G38)</f>
        <v>1</v>
      </c>
      <c r="H40" s="448" t="s">
        <v>684</v>
      </c>
      <c r="I40" s="37"/>
    </row>
    <row r="41" spans="1:9" x14ac:dyDescent="0.25">
      <c r="A41" s="10"/>
      <c r="B41" s="11"/>
      <c r="C41" s="32" t="s">
        <v>58</v>
      </c>
      <c r="D41" s="558"/>
      <c r="E41" s="33"/>
      <c r="F41" s="593"/>
      <c r="G41" s="594"/>
      <c r="H41" s="562"/>
      <c r="I41" s="37"/>
    </row>
    <row r="42" spans="1:9" x14ac:dyDescent="0.25">
      <c r="A42" s="10"/>
      <c r="B42" s="11"/>
      <c r="C42" s="457"/>
      <c r="D42" s="558" t="s">
        <v>9</v>
      </c>
      <c r="E42" s="595">
        <v>183</v>
      </c>
      <c r="F42" s="596">
        <v>197</v>
      </c>
      <c r="G42" s="594">
        <v>86</v>
      </c>
      <c r="H42" s="451" t="s">
        <v>685</v>
      </c>
      <c r="I42" s="451" t="s">
        <v>686</v>
      </c>
    </row>
    <row r="43" spans="1:9" x14ac:dyDescent="0.25">
      <c r="A43" s="10"/>
      <c r="B43" s="11"/>
      <c r="C43" s="457"/>
      <c r="D43" s="558" t="s">
        <v>13</v>
      </c>
      <c r="E43" s="597">
        <v>0</v>
      </c>
      <c r="F43" s="593">
        <v>0</v>
      </c>
      <c r="G43" s="594">
        <v>0</v>
      </c>
      <c r="H43" s="562"/>
      <c r="I43" s="585"/>
    </row>
    <row r="44" spans="1:9" x14ac:dyDescent="0.25">
      <c r="A44" s="10"/>
      <c r="B44" s="11"/>
      <c r="C44" s="11"/>
      <c r="D44" s="558"/>
      <c r="E44" s="33"/>
      <c r="F44" s="593"/>
      <c r="G44" s="594"/>
      <c r="H44" s="562"/>
      <c r="I44" s="37"/>
    </row>
    <row r="45" spans="1:9" x14ac:dyDescent="0.25">
      <c r="A45" s="10"/>
      <c r="B45" s="11"/>
      <c r="C45" s="32" t="s">
        <v>60</v>
      </c>
      <c r="D45" s="558"/>
      <c r="E45" s="33"/>
      <c r="F45" s="593"/>
      <c r="G45" s="594"/>
      <c r="H45" s="562"/>
      <c r="I45" s="37"/>
    </row>
    <row r="46" spans="1:9" x14ac:dyDescent="0.25">
      <c r="A46" s="10"/>
      <c r="B46" s="11"/>
      <c r="C46" s="457"/>
      <c r="D46" s="558" t="s">
        <v>9</v>
      </c>
      <c r="E46" s="597">
        <v>0</v>
      </c>
      <c r="F46" s="593">
        <v>0</v>
      </c>
      <c r="G46" s="598">
        <v>0</v>
      </c>
      <c r="H46" s="585"/>
      <c r="I46" s="37"/>
    </row>
    <row r="47" spans="1:9" x14ac:dyDescent="0.25">
      <c r="A47" s="10"/>
      <c r="B47" s="11"/>
      <c r="C47" s="457"/>
      <c r="D47" s="558" t="s">
        <v>13</v>
      </c>
      <c r="E47" s="597">
        <v>0</v>
      </c>
      <c r="F47" s="593">
        <v>0</v>
      </c>
      <c r="G47" s="598">
        <v>0</v>
      </c>
      <c r="H47" s="585"/>
      <c r="I47" s="37"/>
    </row>
    <row r="48" spans="1:9" x14ac:dyDescent="0.25">
      <c r="A48" s="10"/>
      <c r="B48" s="11"/>
      <c r="C48" s="11"/>
      <c r="D48" s="558"/>
      <c r="E48" s="597"/>
      <c r="F48" s="593"/>
      <c r="G48" s="598"/>
      <c r="H48" s="585"/>
      <c r="I48" s="37"/>
    </row>
    <row r="49" spans="1:12" x14ac:dyDescent="0.25">
      <c r="A49" s="10"/>
      <c r="B49" s="11"/>
      <c r="C49" s="32" t="s">
        <v>61</v>
      </c>
      <c r="D49" s="558"/>
      <c r="E49" s="597"/>
      <c r="F49" s="593"/>
      <c r="G49" s="598"/>
      <c r="H49" s="585"/>
      <c r="I49" s="37"/>
    </row>
    <row r="50" spans="1:12" x14ac:dyDescent="0.25">
      <c r="A50" s="10"/>
      <c r="B50" s="11"/>
      <c r="C50" s="457"/>
      <c r="D50" s="558" t="s">
        <v>9</v>
      </c>
      <c r="E50" s="597">
        <v>0</v>
      </c>
      <c r="F50" s="593">
        <v>0</v>
      </c>
      <c r="G50" s="598">
        <v>0</v>
      </c>
      <c r="H50" s="585"/>
      <c r="I50" s="37"/>
      <c r="L50" s="599"/>
    </row>
    <row r="51" spans="1:12" x14ac:dyDescent="0.25">
      <c r="A51" s="10"/>
      <c r="B51" s="11"/>
      <c r="C51" s="457"/>
      <c r="D51" s="558" t="s">
        <v>13</v>
      </c>
      <c r="E51" s="597">
        <v>0</v>
      </c>
      <c r="F51" s="593">
        <v>0</v>
      </c>
      <c r="G51" s="598">
        <v>0</v>
      </c>
      <c r="H51" s="585"/>
      <c r="I51" s="37"/>
      <c r="L51" s="599"/>
    </row>
    <row r="52" spans="1:12" x14ac:dyDescent="0.25">
      <c r="A52" s="10"/>
      <c r="B52" s="11"/>
      <c r="C52" s="11"/>
      <c r="D52" s="558"/>
      <c r="E52" s="33"/>
      <c r="F52" s="593"/>
      <c r="G52" s="598"/>
      <c r="H52" s="585"/>
      <c r="I52" s="37"/>
      <c r="L52" s="599"/>
    </row>
    <row r="53" spans="1:12" x14ac:dyDescent="0.25">
      <c r="A53" s="10"/>
      <c r="B53" s="11"/>
      <c r="C53" s="32" t="s">
        <v>62</v>
      </c>
      <c r="D53" s="558"/>
      <c r="E53" s="600">
        <f>+SUM(E54:E55)</f>
        <v>183</v>
      </c>
      <c r="F53" s="601">
        <f>+SUM(F54:F55)</f>
        <v>197</v>
      </c>
      <c r="G53" s="602">
        <f>+SUM(G54:G55)</f>
        <v>86</v>
      </c>
      <c r="H53" s="575" t="s">
        <v>17</v>
      </c>
      <c r="I53" s="575" t="s">
        <v>17</v>
      </c>
      <c r="L53" s="599"/>
    </row>
    <row r="54" spans="1:12" x14ac:dyDescent="0.25">
      <c r="A54" s="10"/>
      <c r="B54" s="11"/>
      <c r="C54" s="458"/>
      <c r="D54" s="576" t="s">
        <v>9</v>
      </c>
      <c r="E54" s="600">
        <f t="shared" ref="E54:G55" si="0">SUM(E42,E46,E50)</f>
        <v>183</v>
      </c>
      <c r="F54" s="601">
        <f t="shared" si="0"/>
        <v>197</v>
      </c>
      <c r="G54" s="602">
        <f t="shared" si="0"/>
        <v>86</v>
      </c>
      <c r="H54" s="575" t="s">
        <v>17</v>
      </c>
      <c r="I54" s="48" t="s">
        <v>17</v>
      </c>
    </row>
    <row r="55" spans="1:12" x14ac:dyDescent="0.25">
      <c r="A55" s="10"/>
      <c r="B55" s="11"/>
      <c r="C55" s="458"/>
      <c r="D55" s="576" t="s">
        <v>13</v>
      </c>
      <c r="E55" s="579">
        <f t="shared" si="0"/>
        <v>0</v>
      </c>
      <c r="F55" s="603">
        <f t="shared" si="0"/>
        <v>0</v>
      </c>
      <c r="G55" s="604">
        <f t="shared" si="0"/>
        <v>0</v>
      </c>
      <c r="H55" s="575" t="s">
        <v>17</v>
      </c>
      <c r="I55" s="48" t="s">
        <v>17</v>
      </c>
    </row>
    <row r="56" spans="1:12" x14ac:dyDescent="0.25">
      <c r="A56" s="10"/>
      <c r="B56" s="11"/>
      <c r="C56" s="11"/>
      <c r="D56" s="558"/>
      <c r="E56" s="33"/>
      <c r="F56" s="605"/>
      <c r="G56" s="606"/>
      <c r="H56" s="585"/>
      <c r="I56" s="585"/>
    </row>
    <row r="57" spans="1:12" x14ac:dyDescent="0.25">
      <c r="A57" s="10"/>
      <c r="B57" s="25" t="s">
        <v>63</v>
      </c>
      <c r="C57" s="26"/>
      <c r="D57" s="556"/>
      <c r="E57" s="27"/>
      <c r="F57" s="366"/>
      <c r="G57" s="557"/>
      <c r="H57" s="607"/>
      <c r="I57" s="608"/>
    </row>
    <row r="58" spans="1:12" x14ac:dyDescent="0.25">
      <c r="A58" s="10"/>
      <c r="B58" s="11"/>
      <c r="C58" s="11"/>
      <c r="D58" s="558"/>
      <c r="E58" s="33"/>
      <c r="F58" s="605"/>
      <c r="G58" s="606"/>
      <c r="H58" s="609"/>
      <c r="I58" s="609"/>
    </row>
    <row r="59" spans="1:12" x14ac:dyDescent="0.25">
      <c r="A59" s="10"/>
      <c r="B59" s="11"/>
      <c r="C59" s="104" t="s">
        <v>64</v>
      </c>
      <c r="D59" s="610"/>
      <c r="E59" s="105"/>
      <c r="F59" s="611"/>
      <c r="G59" s="612"/>
      <c r="H59" s="612"/>
      <c r="I59" s="109"/>
    </row>
    <row r="60" spans="1:12" s="44" customFormat="1" x14ac:dyDescent="0.25">
      <c r="A60" s="39"/>
      <c r="B60" s="32"/>
      <c r="C60" s="32"/>
      <c r="D60" s="110" t="s">
        <v>65</v>
      </c>
      <c r="E60" s="110">
        <f>179+7</f>
        <v>186</v>
      </c>
      <c r="F60" s="613">
        <f>161+13</f>
        <v>174</v>
      </c>
      <c r="G60" s="614">
        <v>203</v>
      </c>
      <c r="H60" s="615" t="s">
        <v>687</v>
      </c>
      <c r="I60" s="615"/>
    </row>
    <row r="61" spans="1:12" x14ac:dyDescent="0.25">
      <c r="A61" s="10"/>
      <c r="B61" s="115"/>
      <c r="C61" s="115"/>
      <c r="D61" s="616" t="s">
        <v>68</v>
      </c>
      <c r="E61" s="617">
        <v>175</v>
      </c>
      <c r="F61" s="618">
        <v>173</v>
      </c>
      <c r="G61" s="619">
        <v>171</v>
      </c>
      <c r="H61" s="451" t="s">
        <v>680</v>
      </c>
      <c r="I61" s="451" t="s">
        <v>688</v>
      </c>
    </row>
    <row r="62" spans="1:12" x14ac:dyDescent="0.25">
      <c r="A62" s="10"/>
      <c r="B62" s="11"/>
      <c r="C62" s="11"/>
      <c r="D62" s="616" t="s">
        <v>70</v>
      </c>
      <c r="E62" s="617">
        <v>22</v>
      </c>
      <c r="F62" s="618">
        <v>22</v>
      </c>
      <c r="G62" s="619">
        <v>60</v>
      </c>
      <c r="H62" s="451" t="s">
        <v>680</v>
      </c>
      <c r="I62" s="451" t="s">
        <v>688</v>
      </c>
    </row>
    <row r="63" spans="1:12" x14ac:dyDescent="0.25">
      <c r="A63" s="10"/>
      <c r="B63" s="11"/>
      <c r="C63" s="11"/>
      <c r="D63" s="616" t="s">
        <v>71</v>
      </c>
      <c r="E63" s="620">
        <f>+SUM(E64:E69)</f>
        <v>-41</v>
      </c>
      <c r="F63" s="621">
        <f>+SUM(F64:F69)</f>
        <v>-32</v>
      </c>
      <c r="G63" s="619">
        <f>+SUM(G64:G69)</f>
        <v>-40</v>
      </c>
      <c r="H63" s="222"/>
      <c r="I63" s="120"/>
    </row>
    <row r="64" spans="1:12" x14ac:dyDescent="0.25">
      <c r="A64" s="10"/>
      <c r="B64" s="11"/>
      <c r="C64" s="11"/>
      <c r="D64" s="622" t="s">
        <v>72</v>
      </c>
      <c r="E64" s="623">
        <v>-4</v>
      </c>
      <c r="F64" s="624">
        <v>-7</v>
      </c>
      <c r="G64" s="625">
        <v>-12</v>
      </c>
      <c r="H64" s="460" t="s">
        <v>689</v>
      </c>
      <c r="I64" s="460" t="s">
        <v>690</v>
      </c>
    </row>
    <row r="65" spans="1:9" x14ac:dyDescent="0.25">
      <c r="A65" s="10"/>
      <c r="B65" s="11"/>
      <c r="C65" s="11"/>
      <c r="D65" s="622" t="s">
        <v>75</v>
      </c>
      <c r="E65" s="623">
        <v>-37</v>
      </c>
      <c r="F65" s="624">
        <v>-25</v>
      </c>
      <c r="G65" s="625">
        <v>-28</v>
      </c>
      <c r="H65" s="451" t="s">
        <v>691</v>
      </c>
      <c r="I65" s="451" t="s">
        <v>690</v>
      </c>
    </row>
    <row r="66" spans="1:9" x14ac:dyDescent="0.25">
      <c r="A66" s="10"/>
      <c r="B66" s="11"/>
      <c r="C66" s="11"/>
      <c r="D66" s="626" t="s">
        <v>77</v>
      </c>
      <c r="E66" s="627">
        <v>0</v>
      </c>
      <c r="F66" s="627">
        <v>0</v>
      </c>
      <c r="G66" s="625">
        <v>0</v>
      </c>
      <c r="H66" s="628"/>
      <c r="I66" s="344" t="s">
        <v>463</v>
      </c>
    </row>
    <row r="67" spans="1:9" x14ac:dyDescent="0.25">
      <c r="A67" s="10"/>
      <c r="B67" s="11"/>
      <c r="C67" s="11"/>
      <c r="D67" s="622" t="s">
        <v>78</v>
      </c>
      <c r="E67" s="623">
        <v>7</v>
      </c>
      <c r="F67" s="624">
        <v>6</v>
      </c>
      <c r="G67" s="625">
        <v>4</v>
      </c>
      <c r="H67" s="628"/>
      <c r="I67" s="344" t="s">
        <v>692</v>
      </c>
    </row>
    <row r="68" spans="1:9" x14ac:dyDescent="0.25">
      <c r="A68" s="10"/>
      <c r="B68" s="11"/>
      <c r="C68" s="11"/>
      <c r="D68" s="622" t="s">
        <v>81</v>
      </c>
      <c r="E68" s="627">
        <v>0</v>
      </c>
      <c r="F68" s="627">
        <v>0</v>
      </c>
      <c r="G68" s="625">
        <v>0</v>
      </c>
      <c r="H68" s="628"/>
      <c r="I68" s="344" t="s">
        <v>466</v>
      </c>
    </row>
    <row r="69" spans="1:9" x14ac:dyDescent="0.25">
      <c r="A69" s="10"/>
      <c r="B69" s="11"/>
      <c r="C69" s="11"/>
      <c r="D69" s="622" t="s">
        <v>82</v>
      </c>
      <c r="E69" s="623">
        <f>-E67</f>
        <v>-7</v>
      </c>
      <c r="F69" s="627">
        <f>-F67</f>
        <v>-6</v>
      </c>
      <c r="G69" s="625">
        <f>-G67</f>
        <v>-4</v>
      </c>
      <c r="H69" s="629" t="s">
        <v>21</v>
      </c>
      <c r="I69" s="461" t="s">
        <v>21</v>
      </c>
    </row>
    <row r="70" spans="1:9" x14ac:dyDescent="0.25">
      <c r="A70" s="10"/>
      <c r="B70" s="11"/>
      <c r="C70" s="11"/>
      <c r="D70" s="616" t="s">
        <v>83</v>
      </c>
      <c r="E70" s="621">
        <f>+SUM(E71:E75)</f>
        <v>32</v>
      </c>
      <c r="F70" s="621">
        <f>+SUM(F71:F75)</f>
        <v>22</v>
      </c>
      <c r="G70" s="619">
        <f>+SUM(G71:G75)</f>
        <v>7</v>
      </c>
      <c r="H70" s="222"/>
      <c r="I70" s="37" t="s">
        <v>693</v>
      </c>
    </row>
    <row r="71" spans="1:9" x14ac:dyDescent="0.25">
      <c r="A71" s="10"/>
      <c r="B71" s="11"/>
      <c r="C71" s="11"/>
      <c r="D71" s="622" t="s">
        <v>84</v>
      </c>
      <c r="E71" s="623">
        <v>1754</v>
      </c>
      <c r="F71" s="624">
        <v>1620</v>
      </c>
      <c r="G71" s="625">
        <v>1638</v>
      </c>
      <c r="H71" s="451" t="s">
        <v>680</v>
      </c>
      <c r="I71" s="460" t="s">
        <v>694</v>
      </c>
    </row>
    <row r="72" spans="1:9" x14ac:dyDescent="0.25">
      <c r="A72" s="10"/>
      <c r="B72" s="11"/>
      <c r="C72" s="11"/>
      <c r="D72" s="622" t="s">
        <v>82</v>
      </c>
      <c r="E72" s="623">
        <f>-E69</f>
        <v>7</v>
      </c>
      <c r="F72" s="624">
        <f>-F69</f>
        <v>6</v>
      </c>
      <c r="G72" s="625">
        <f>-G69</f>
        <v>4</v>
      </c>
      <c r="H72" s="629" t="s">
        <v>21</v>
      </c>
      <c r="I72" s="461" t="s">
        <v>21</v>
      </c>
    </row>
    <row r="73" spans="1:9" x14ac:dyDescent="0.25">
      <c r="A73" s="10"/>
      <c r="B73" s="11"/>
      <c r="C73" s="11"/>
      <c r="D73" s="622" t="s">
        <v>87</v>
      </c>
      <c r="E73" s="630">
        <v>0</v>
      </c>
      <c r="F73" s="627">
        <v>0</v>
      </c>
      <c r="G73" s="625">
        <v>0</v>
      </c>
      <c r="H73" s="460"/>
      <c r="I73" s="460" t="s">
        <v>88</v>
      </c>
    </row>
    <row r="74" spans="1:9" x14ac:dyDescent="0.25">
      <c r="A74" s="10"/>
      <c r="B74" s="11"/>
      <c r="C74" s="11"/>
      <c r="D74" s="622" t="s">
        <v>89</v>
      </c>
      <c r="E74" s="623">
        <f>-E71+32-E75-E72</f>
        <v>-1535</v>
      </c>
      <c r="F74" s="627">
        <f>-F71+22-F75-F72</f>
        <v>-1430</v>
      </c>
      <c r="G74" s="625">
        <f>-G71+7-G75-G72</f>
        <v>-1458</v>
      </c>
      <c r="H74" s="629" t="s">
        <v>21</v>
      </c>
      <c r="I74" s="460" t="s">
        <v>695</v>
      </c>
    </row>
    <row r="75" spans="1:9" x14ac:dyDescent="0.25">
      <c r="A75" s="10"/>
      <c r="B75" s="11"/>
      <c r="C75" s="11"/>
      <c r="D75" s="622" t="s">
        <v>92</v>
      </c>
      <c r="E75" s="623">
        <f>-(21+173)</f>
        <v>-194</v>
      </c>
      <c r="F75" s="624">
        <f>-(17+157)</f>
        <v>-174</v>
      </c>
      <c r="G75" s="625">
        <f>-(19+158)</f>
        <v>-177</v>
      </c>
      <c r="H75" s="460" t="s">
        <v>696</v>
      </c>
      <c r="I75" s="460" t="s">
        <v>697</v>
      </c>
    </row>
    <row r="76" spans="1:9" x14ac:dyDescent="0.25">
      <c r="A76" s="10"/>
      <c r="B76" s="11"/>
      <c r="C76" s="11"/>
      <c r="D76" s="616" t="s">
        <v>94</v>
      </c>
      <c r="E76" s="620">
        <f>+SUM(E77:E81,E85)</f>
        <v>0</v>
      </c>
      <c r="F76" s="621">
        <f>+SUM(F77:F81,F85)</f>
        <v>0</v>
      </c>
      <c r="G76" s="619">
        <f>+SUM(G77:G81,G85)</f>
        <v>0</v>
      </c>
      <c r="H76" s="585"/>
      <c r="I76" s="37"/>
    </row>
    <row r="77" spans="1:9" x14ac:dyDescent="0.25">
      <c r="A77" s="10"/>
      <c r="B77" s="11"/>
      <c r="C77" s="11"/>
      <c r="D77" s="622" t="s">
        <v>95</v>
      </c>
      <c r="E77" s="630">
        <v>0</v>
      </c>
      <c r="F77" s="627">
        <v>0</v>
      </c>
      <c r="G77" s="625">
        <v>0</v>
      </c>
      <c r="H77" s="222"/>
      <c r="I77" s="120"/>
    </row>
    <row r="78" spans="1:9" x14ac:dyDescent="0.25">
      <c r="A78" s="10"/>
      <c r="B78" s="11"/>
      <c r="C78" s="11"/>
      <c r="D78" s="622" t="s">
        <v>96</v>
      </c>
      <c r="E78" s="630">
        <v>0</v>
      </c>
      <c r="F78" s="627">
        <v>0</v>
      </c>
      <c r="G78" s="625">
        <v>0</v>
      </c>
      <c r="H78" s="222"/>
      <c r="I78" s="120"/>
    </row>
    <row r="79" spans="1:9" x14ac:dyDescent="0.25">
      <c r="A79" s="10"/>
      <c r="B79" s="11"/>
      <c r="C79" s="11"/>
      <c r="D79" s="622" t="s">
        <v>92</v>
      </c>
      <c r="E79" s="630">
        <v>0</v>
      </c>
      <c r="F79" s="627">
        <v>0</v>
      </c>
      <c r="G79" s="625">
        <v>0</v>
      </c>
      <c r="H79" s="222"/>
      <c r="I79" s="120"/>
    </row>
    <row r="80" spans="1:9" x14ac:dyDescent="0.25">
      <c r="A80" s="10"/>
      <c r="B80" s="11"/>
      <c r="C80" s="11"/>
      <c r="D80" s="622" t="s">
        <v>99</v>
      </c>
      <c r="E80" s="630">
        <v>0</v>
      </c>
      <c r="F80" s="627">
        <v>0</v>
      </c>
      <c r="G80" s="625">
        <v>0</v>
      </c>
      <c r="H80" s="222"/>
      <c r="I80" s="120"/>
    </row>
    <row r="81" spans="1:9" x14ac:dyDescent="0.25">
      <c r="A81" s="10"/>
      <c r="B81" s="11"/>
      <c r="C81" s="11"/>
      <c r="D81" s="622" t="s">
        <v>102</v>
      </c>
      <c r="E81" s="630">
        <f>+SUM(E82:E84)</f>
        <v>0</v>
      </c>
      <c r="F81" s="627">
        <f>+SUM(F82:F84)</f>
        <v>0</v>
      </c>
      <c r="G81" s="625">
        <f>+SUM(G82:G84)</f>
        <v>0</v>
      </c>
      <c r="H81" s="222"/>
      <c r="I81" s="120"/>
    </row>
    <row r="82" spans="1:9" x14ac:dyDescent="0.25">
      <c r="A82" s="10"/>
      <c r="B82" s="11"/>
      <c r="C82" s="11"/>
      <c r="D82" s="631" t="s">
        <v>72</v>
      </c>
      <c r="E82" s="632">
        <v>0</v>
      </c>
      <c r="F82" s="633">
        <v>0</v>
      </c>
      <c r="G82" s="634">
        <v>0</v>
      </c>
      <c r="H82" s="222"/>
      <c r="I82" s="120"/>
    </row>
    <row r="83" spans="1:9" x14ac:dyDescent="0.25">
      <c r="A83" s="10"/>
      <c r="B83" s="11"/>
      <c r="C83" s="11"/>
      <c r="D83" s="631" t="s">
        <v>103</v>
      </c>
      <c r="E83" s="632">
        <v>0</v>
      </c>
      <c r="F83" s="633">
        <v>0</v>
      </c>
      <c r="G83" s="634">
        <v>0</v>
      </c>
      <c r="H83" s="222"/>
      <c r="I83" s="120"/>
    </row>
    <row r="84" spans="1:9" x14ac:dyDescent="0.25">
      <c r="A84" s="10"/>
      <c r="B84" s="11"/>
      <c r="C84" s="11"/>
      <c r="D84" s="631" t="s">
        <v>106</v>
      </c>
      <c r="E84" s="632">
        <v>0</v>
      </c>
      <c r="F84" s="633">
        <v>0</v>
      </c>
      <c r="G84" s="634">
        <v>0</v>
      </c>
      <c r="H84" s="222"/>
      <c r="I84" s="120"/>
    </row>
    <row r="85" spans="1:9" x14ac:dyDescent="0.25">
      <c r="A85" s="10"/>
      <c r="B85" s="11"/>
      <c r="C85" s="11"/>
      <c r="D85" s="622" t="s">
        <v>30</v>
      </c>
      <c r="E85" s="630">
        <f>+SUM(E86:E87)</f>
        <v>0</v>
      </c>
      <c r="F85" s="627">
        <f>+SUM(F86:F87)</f>
        <v>0</v>
      </c>
      <c r="G85" s="625">
        <f>+SUM(G86:G87)</f>
        <v>0</v>
      </c>
      <c r="H85" s="222"/>
      <c r="I85" s="120"/>
    </row>
    <row r="86" spans="1:9" x14ac:dyDescent="0.25">
      <c r="A86" s="10"/>
      <c r="B86" s="11"/>
      <c r="C86" s="11"/>
      <c r="D86" s="631" t="s">
        <v>107</v>
      </c>
      <c r="E86" s="632">
        <v>0</v>
      </c>
      <c r="F86" s="633">
        <v>0</v>
      </c>
      <c r="G86" s="634">
        <v>0</v>
      </c>
      <c r="H86" s="222"/>
      <c r="I86" s="120"/>
    </row>
    <row r="87" spans="1:9" x14ac:dyDescent="0.25">
      <c r="A87" s="10"/>
      <c r="B87" s="11"/>
      <c r="C87" s="11"/>
      <c r="D87" s="631" t="s">
        <v>108</v>
      </c>
      <c r="E87" s="632">
        <v>0</v>
      </c>
      <c r="F87" s="633">
        <v>0</v>
      </c>
      <c r="G87" s="634">
        <v>0</v>
      </c>
      <c r="H87" s="222"/>
      <c r="I87" s="120"/>
    </row>
    <row r="88" spans="1:9" x14ac:dyDescent="0.25">
      <c r="A88" s="10"/>
      <c r="B88" s="11"/>
      <c r="C88" s="11"/>
      <c r="D88" s="616" t="s">
        <v>111</v>
      </c>
      <c r="E88" s="620">
        <f>+SUM(E89:E93)</f>
        <v>-2</v>
      </c>
      <c r="F88" s="621">
        <f>+SUM(F89:F93)</f>
        <v>-11</v>
      </c>
      <c r="G88" s="619">
        <f>+SUM(G89:G93)</f>
        <v>5</v>
      </c>
      <c r="H88" s="222"/>
      <c r="I88" s="120"/>
    </row>
    <row r="89" spans="1:9" x14ac:dyDescent="0.25">
      <c r="A89" s="10"/>
      <c r="B89" s="11"/>
      <c r="C89" s="11"/>
      <c r="D89" s="622" t="s">
        <v>112</v>
      </c>
      <c r="E89" s="630">
        <v>0</v>
      </c>
      <c r="F89" s="627">
        <v>0</v>
      </c>
      <c r="G89" s="625">
        <v>0</v>
      </c>
      <c r="H89" s="625"/>
      <c r="I89" s="460"/>
    </row>
    <row r="90" spans="1:9" x14ac:dyDescent="0.25">
      <c r="A90" s="10"/>
      <c r="B90" s="11"/>
      <c r="C90" s="11"/>
      <c r="D90" s="622" t="s">
        <v>99</v>
      </c>
      <c r="E90" s="623">
        <v>-2</v>
      </c>
      <c r="F90" s="624">
        <v>-11</v>
      </c>
      <c r="G90" s="625">
        <v>5</v>
      </c>
      <c r="H90" s="451" t="s">
        <v>680</v>
      </c>
      <c r="I90" s="451" t="s">
        <v>698</v>
      </c>
    </row>
    <row r="91" spans="1:9" x14ac:dyDescent="0.25">
      <c r="A91" s="10"/>
      <c r="B91" s="11"/>
      <c r="C91" s="11"/>
      <c r="D91" s="622" t="s">
        <v>115</v>
      </c>
      <c r="E91" s="623">
        <v>5</v>
      </c>
      <c r="F91" s="624">
        <v>4</v>
      </c>
      <c r="G91" s="625">
        <v>5</v>
      </c>
      <c r="H91" s="451" t="s">
        <v>680</v>
      </c>
      <c r="I91" s="451" t="s">
        <v>699</v>
      </c>
    </row>
    <row r="92" spans="1:9" x14ac:dyDescent="0.25">
      <c r="A92" s="10"/>
      <c r="B92" s="11"/>
      <c r="C92" s="11"/>
      <c r="D92" s="622" t="s">
        <v>108</v>
      </c>
      <c r="E92" s="623">
        <v>-5</v>
      </c>
      <c r="F92" s="624">
        <v>-3</v>
      </c>
      <c r="G92" s="625">
        <v>-5</v>
      </c>
      <c r="H92" s="451" t="s">
        <v>680</v>
      </c>
      <c r="I92" s="451" t="s">
        <v>698</v>
      </c>
    </row>
    <row r="93" spans="1:9" x14ac:dyDescent="0.25">
      <c r="A93" s="10"/>
      <c r="B93" s="11"/>
      <c r="C93" s="11"/>
      <c r="D93" s="139" t="s">
        <v>117</v>
      </c>
      <c r="E93" s="143"/>
      <c r="F93" s="573">
        <v>-1</v>
      </c>
      <c r="G93" s="571"/>
      <c r="H93" s="222"/>
      <c r="I93" s="120"/>
    </row>
    <row r="94" spans="1:9" x14ac:dyDescent="0.25">
      <c r="A94" s="10"/>
      <c r="B94" s="11"/>
      <c r="C94" s="11"/>
      <c r="D94" s="635" t="s">
        <v>118</v>
      </c>
      <c r="E94" s="636" t="b">
        <f>SUM(E61:E63,E70,E76,E88)=E60</f>
        <v>1</v>
      </c>
      <c r="F94" s="637" t="b">
        <f>SUM(F61:F63,F70,F76,F88)=F60</f>
        <v>1</v>
      </c>
      <c r="G94" s="638" t="b">
        <f>SUM(G61:G63,G70,G76,G88)=G60</f>
        <v>1</v>
      </c>
      <c r="H94" s="448" t="s">
        <v>684</v>
      </c>
      <c r="I94" s="120"/>
    </row>
    <row r="95" spans="1:9" x14ac:dyDescent="0.25">
      <c r="A95" s="10"/>
      <c r="B95" s="11"/>
      <c r="C95" s="11"/>
      <c r="D95" s="635" t="s">
        <v>95</v>
      </c>
      <c r="E95" s="636" t="b">
        <f>SUM(E61,E62,E71,E77,E89,E91,E73)=1955</f>
        <v>0</v>
      </c>
      <c r="F95" s="639" t="b">
        <f>SUM(F61,F62,F71,F77,F89,F91,F73)=1818</f>
        <v>0</v>
      </c>
      <c r="G95" s="638" t="b">
        <f>SUM(G61,G62,G71,G77,G89,G91,G73)=1874</f>
        <v>1</v>
      </c>
      <c r="H95" s="448" t="s">
        <v>684</v>
      </c>
      <c r="I95" s="120"/>
    </row>
    <row r="96" spans="1:9" x14ac:dyDescent="0.25">
      <c r="A96" s="10"/>
      <c r="B96" s="11"/>
      <c r="C96" s="11"/>
      <c r="D96" s="635"/>
      <c r="E96" s="142"/>
      <c r="F96" s="639"/>
      <c r="G96" s="638"/>
      <c r="H96" s="222"/>
      <c r="I96" s="120"/>
    </row>
    <row r="97" spans="1:9" x14ac:dyDescent="0.25">
      <c r="A97" s="10"/>
      <c r="B97" s="11"/>
      <c r="C97" s="11"/>
      <c r="D97" s="635"/>
      <c r="E97" s="142"/>
      <c r="F97" s="639"/>
      <c r="G97" s="638"/>
      <c r="H97" s="222"/>
      <c r="I97" s="120"/>
    </row>
    <row r="98" spans="1:9" x14ac:dyDescent="0.25">
      <c r="A98" s="10"/>
      <c r="B98" s="11"/>
      <c r="C98" s="11"/>
      <c r="D98" s="640"/>
      <c r="E98" s="143"/>
      <c r="F98" s="573"/>
      <c r="G98" s="571"/>
      <c r="H98" s="222"/>
      <c r="I98" s="120"/>
    </row>
    <row r="99" spans="1:9" s="44" customFormat="1" x14ac:dyDescent="0.25">
      <c r="A99" s="39"/>
      <c r="B99" s="32"/>
      <c r="C99" s="32"/>
      <c r="D99" s="641" t="s">
        <v>120</v>
      </c>
      <c r="E99" s="642">
        <v>-7</v>
      </c>
      <c r="F99" s="643">
        <v>-13</v>
      </c>
      <c r="G99" s="614">
        <v>-35</v>
      </c>
      <c r="H99" s="614" t="s">
        <v>700</v>
      </c>
      <c r="I99" s="114" t="s">
        <v>67</v>
      </c>
    </row>
    <row r="100" spans="1:9" x14ac:dyDescent="0.25">
      <c r="A100" s="10"/>
      <c r="B100" s="11"/>
      <c r="C100" s="11"/>
      <c r="D100" s="558"/>
      <c r="E100" s="33"/>
      <c r="F100" s="573"/>
      <c r="G100" s="571"/>
      <c r="H100" s="571"/>
      <c r="I100" s="147"/>
    </row>
    <row r="101" spans="1:9" s="44" customFormat="1" x14ac:dyDescent="0.25">
      <c r="A101" s="39"/>
      <c r="B101" s="32"/>
      <c r="C101" s="32"/>
      <c r="D101" s="641" t="s">
        <v>122</v>
      </c>
      <c r="E101" s="644">
        <f>3115-4-29-2619</f>
        <v>463</v>
      </c>
      <c r="F101" s="613">
        <f>3680-2498-4-51</f>
        <v>1127</v>
      </c>
      <c r="G101" s="614">
        <f>-11760+10743-1-51</f>
        <v>-1069</v>
      </c>
      <c r="H101" s="614"/>
      <c r="I101" s="114" t="s">
        <v>67</v>
      </c>
    </row>
    <row r="102" spans="1:9" s="44" customFormat="1" x14ac:dyDescent="0.25">
      <c r="A102" s="39"/>
      <c r="B102" s="32"/>
      <c r="C102" s="32"/>
      <c r="D102" s="616" t="s">
        <v>124</v>
      </c>
      <c r="E102" s="116"/>
      <c r="F102" s="645"/>
      <c r="G102" s="646"/>
      <c r="H102" s="120"/>
      <c r="I102" s="120"/>
    </row>
    <row r="103" spans="1:9" s="44" customFormat="1" x14ac:dyDescent="0.25">
      <c r="A103" s="39"/>
      <c r="B103" s="32"/>
      <c r="C103" s="32"/>
      <c r="D103" s="647" t="s">
        <v>125</v>
      </c>
      <c r="E103" s="151"/>
      <c r="F103" s="645"/>
      <c r="G103" s="646"/>
      <c r="H103" s="120"/>
      <c r="I103" s="120"/>
    </row>
    <row r="104" spans="1:9" s="44" customFormat="1" x14ac:dyDescent="0.25">
      <c r="A104" s="39"/>
      <c r="B104" s="32"/>
      <c r="C104" s="32"/>
      <c r="D104" s="648" t="s">
        <v>126</v>
      </c>
      <c r="E104" s="649">
        <v>16</v>
      </c>
      <c r="F104" s="650">
        <v>17</v>
      </c>
      <c r="G104" s="651">
        <v>19</v>
      </c>
      <c r="H104" s="652" t="s">
        <v>701</v>
      </c>
      <c r="I104" s="652" t="s">
        <v>702</v>
      </c>
    </row>
    <row r="105" spans="1:9" s="44" customFormat="1" x14ac:dyDescent="0.25">
      <c r="A105" s="39"/>
      <c r="B105" s="32"/>
      <c r="C105" s="32"/>
      <c r="D105" s="648" t="s">
        <v>127</v>
      </c>
      <c r="E105" s="649">
        <f>1547-7-7-11</f>
        <v>1522</v>
      </c>
      <c r="F105" s="650">
        <f>1427+8-6-4-1</f>
        <v>1424</v>
      </c>
      <c r="G105" s="651">
        <v>-2492</v>
      </c>
      <c r="H105" s="652" t="s">
        <v>701</v>
      </c>
      <c r="I105" s="652" t="s">
        <v>702</v>
      </c>
    </row>
    <row r="106" spans="1:9" s="44" customFormat="1" x14ac:dyDescent="0.25">
      <c r="A106" s="39"/>
      <c r="B106" s="32"/>
      <c r="C106" s="32"/>
      <c r="D106" s="648" t="s">
        <v>128</v>
      </c>
      <c r="E106" s="649">
        <v>1</v>
      </c>
      <c r="F106" s="650">
        <v>1</v>
      </c>
      <c r="G106" s="651">
        <v>1</v>
      </c>
      <c r="H106" s="652" t="s">
        <v>701</v>
      </c>
      <c r="I106" s="652" t="s">
        <v>702</v>
      </c>
    </row>
    <row r="107" spans="1:9" s="44" customFormat="1" x14ac:dyDescent="0.25">
      <c r="A107" s="39"/>
      <c r="B107" s="32"/>
      <c r="C107" s="32"/>
      <c r="D107" s="648" t="s">
        <v>129</v>
      </c>
      <c r="E107" s="653">
        <v>0</v>
      </c>
      <c r="F107" s="654">
        <v>0</v>
      </c>
      <c r="G107" s="651">
        <v>0</v>
      </c>
      <c r="H107" s="652" t="s">
        <v>701</v>
      </c>
      <c r="I107" s="652" t="s">
        <v>702</v>
      </c>
    </row>
    <row r="108" spans="1:9" s="44" customFormat="1" x14ac:dyDescent="0.25">
      <c r="A108" s="39"/>
      <c r="B108" s="32"/>
      <c r="C108" s="32"/>
      <c r="D108" s="655"/>
      <c r="E108" s="656">
        <f>SUM(E104:E107)</f>
        <v>1539</v>
      </c>
      <c r="F108" s="657">
        <f>SUM(F104:F107)</f>
        <v>1442</v>
      </c>
      <c r="G108" s="658">
        <f>SUM(G104:G107)</f>
        <v>-2472</v>
      </c>
      <c r="H108" s="120"/>
      <c r="I108" s="120"/>
    </row>
    <row r="109" spans="1:9" s="44" customFormat="1" x14ac:dyDescent="0.25">
      <c r="A109" s="39"/>
      <c r="B109" s="32"/>
      <c r="C109" s="32"/>
      <c r="D109" s="647" t="s">
        <v>130</v>
      </c>
      <c r="E109" s="151"/>
      <c r="F109" s="659"/>
      <c r="G109" s="651"/>
      <c r="H109" s="120"/>
      <c r="I109" s="120"/>
    </row>
    <row r="110" spans="1:9" s="44" customFormat="1" x14ac:dyDescent="0.25">
      <c r="A110" s="39"/>
      <c r="B110" s="32"/>
      <c r="C110" s="32"/>
      <c r="D110" s="648" t="s">
        <v>126</v>
      </c>
      <c r="E110" s="649">
        <f>1136-354+86</f>
        <v>868</v>
      </c>
      <c r="F110" s="650">
        <f>757</f>
        <v>757</v>
      </c>
      <c r="G110" s="651">
        <f>1103</f>
        <v>1103</v>
      </c>
      <c r="H110" s="652" t="s">
        <v>701</v>
      </c>
      <c r="I110" s="652" t="s">
        <v>703</v>
      </c>
    </row>
    <row r="111" spans="1:9" s="44" customFormat="1" x14ac:dyDescent="0.25">
      <c r="A111" s="39"/>
      <c r="B111" s="32"/>
      <c r="C111" s="32"/>
      <c r="D111" s="648" t="s">
        <v>127</v>
      </c>
      <c r="E111" s="649">
        <f>144+221+96</f>
        <v>461</v>
      </c>
      <c r="F111" s="650">
        <f>646</f>
        <v>646</v>
      </c>
      <c r="G111" s="651">
        <f>-5146</f>
        <v>-5146</v>
      </c>
      <c r="H111" s="652" t="s">
        <v>701</v>
      </c>
      <c r="I111" s="652" t="s">
        <v>703</v>
      </c>
    </row>
    <row r="112" spans="1:9" s="44" customFormat="1" x14ac:dyDescent="0.25">
      <c r="A112" s="39"/>
      <c r="B112" s="32"/>
      <c r="C112" s="32"/>
      <c r="D112" s="648" t="s">
        <v>128</v>
      </c>
      <c r="E112" s="649">
        <f>100+25</f>
        <v>125</v>
      </c>
      <c r="F112" s="650">
        <v>114</v>
      </c>
      <c r="G112" s="651">
        <v>35</v>
      </c>
      <c r="H112" s="652" t="s">
        <v>701</v>
      </c>
      <c r="I112" s="652" t="s">
        <v>703</v>
      </c>
    </row>
    <row r="113" spans="1:9" s="44" customFormat="1" x14ac:dyDescent="0.25">
      <c r="A113" s="39"/>
      <c r="B113" s="32"/>
      <c r="C113" s="32"/>
      <c r="D113" s="648" t="s">
        <v>135</v>
      </c>
      <c r="E113" s="649">
        <v>1</v>
      </c>
      <c r="F113" s="650">
        <v>1</v>
      </c>
      <c r="G113" s="651">
        <v>-5</v>
      </c>
      <c r="H113" s="652" t="s">
        <v>704</v>
      </c>
      <c r="I113" s="43" t="s">
        <v>705</v>
      </c>
    </row>
    <row r="114" spans="1:9" s="44" customFormat="1" x14ac:dyDescent="0.25">
      <c r="A114" s="39"/>
      <c r="B114" s="32"/>
      <c r="C114" s="32"/>
      <c r="D114" s="648" t="s">
        <v>138</v>
      </c>
      <c r="E114" s="649">
        <f>160-369</f>
        <v>-209</v>
      </c>
      <c r="F114" s="650">
        <v>1006</v>
      </c>
      <c r="G114" s="651">
        <v>-5365</v>
      </c>
      <c r="H114" s="652" t="s">
        <v>701</v>
      </c>
      <c r="I114" s="43" t="s">
        <v>705</v>
      </c>
    </row>
    <row r="115" spans="1:9" s="44" customFormat="1" x14ac:dyDescent="0.25">
      <c r="A115" s="39"/>
      <c r="B115" s="32"/>
      <c r="C115" s="32"/>
      <c r="D115" s="648" t="s">
        <v>141</v>
      </c>
      <c r="E115" s="649">
        <f>71+274+6</f>
        <v>351</v>
      </c>
      <c r="F115" s="650">
        <v>-269</v>
      </c>
      <c r="G115" s="651">
        <v>93</v>
      </c>
      <c r="H115" s="652" t="s">
        <v>701</v>
      </c>
      <c r="I115" s="652" t="s">
        <v>703</v>
      </c>
    </row>
    <row r="116" spans="1:9" s="44" customFormat="1" x14ac:dyDescent="0.25">
      <c r="A116" s="39"/>
      <c r="B116" s="32"/>
      <c r="C116" s="32"/>
      <c r="D116" s="648" t="s">
        <v>142</v>
      </c>
      <c r="E116" s="649">
        <v>54</v>
      </c>
      <c r="F116" s="650">
        <v>49</v>
      </c>
      <c r="G116" s="651">
        <v>35</v>
      </c>
      <c r="H116" s="652" t="s">
        <v>701</v>
      </c>
      <c r="I116" s="652" t="s">
        <v>703</v>
      </c>
    </row>
    <row r="117" spans="1:9" s="44" customFormat="1" x14ac:dyDescent="0.25">
      <c r="A117" s="39"/>
      <c r="B117" s="32"/>
      <c r="C117" s="32"/>
      <c r="D117" s="648" t="s">
        <v>144</v>
      </c>
      <c r="E117" s="649">
        <v>-79</v>
      </c>
      <c r="F117" s="660">
        <f>-70</f>
        <v>-70</v>
      </c>
      <c r="G117" s="651">
        <f>-39</f>
        <v>-39</v>
      </c>
      <c r="H117" s="652" t="s">
        <v>701</v>
      </c>
      <c r="I117" s="652" t="s">
        <v>706</v>
      </c>
    </row>
    <row r="118" spans="1:9" s="44" customFormat="1" x14ac:dyDescent="0.25">
      <c r="A118" s="39"/>
      <c r="B118" s="32"/>
      <c r="C118" s="32"/>
      <c r="D118" s="648"/>
      <c r="E118" s="656">
        <f>SUM(E110:E117)</f>
        <v>1572</v>
      </c>
      <c r="F118" s="657">
        <f>SUM(F110:F117)</f>
        <v>2234</v>
      </c>
      <c r="G118" s="658">
        <f>SUM(G110:G117)</f>
        <v>-9289</v>
      </c>
      <c r="H118" s="222"/>
      <c r="I118" s="120"/>
    </row>
    <row r="119" spans="1:9" s="44" customFormat="1" x14ac:dyDescent="0.25">
      <c r="A119" s="39"/>
      <c r="B119" s="32"/>
      <c r="C119" s="32"/>
      <c r="D119" s="655"/>
      <c r="E119" s="159"/>
      <c r="F119" s="645"/>
      <c r="G119" s="646"/>
      <c r="H119" s="222"/>
      <c r="I119" s="120"/>
    </row>
    <row r="120" spans="1:9" s="44" customFormat="1" x14ac:dyDescent="0.25">
      <c r="A120" s="39"/>
      <c r="B120" s="32"/>
      <c r="C120" s="32"/>
      <c r="D120" s="616" t="s">
        <v>146</v>
      </c>
      <c r="E120" s="116"/>
      <c r="F120" s="645"/>
      <c r="G120" s="646"/>
      <c r="H120" s="222"/>
      <c r="I120" s="120"/>
    </row>
    <row r="121" spans="1:9" x14ac:dyDescent="0.25">
      <c r="A121" s="10"/>
      <c r="B121" s="11"/>
      <c r="C121" s="11"/>
      <c r="D121" s="647" t="s">
        <v>147</v>
      </c>
      <c r="E121" s="151"/>
      <c r="F121" s="661"/>
      <c r="G121" s="662"/>
      <c r="H121" s="66" t="s">
        <v>707</v>
      </c>
      <c r="I121" s="66" t="s">
        <v>707</v>
      </c>
    </row>
    <row r="122" spans="1:9" x14ac:dyDescent="0.25">
      <c r="A122" s="10"/>
      <c r="B122" s="11"/>
      <c r="C122" s="11"/>
      <c r="D122" s="647" t="s">
        <v>150</v>
      </c>
      <c r="E122" s="663">
        <f>-2619-E121</f>
        <v>-2619</v>
      </c>
      <c r="F122" s="664">
        <f>-2498-F121</f>
        <v>-2498</v>
      </c>
      <c r="G122" s="651">
        <f>10743-G121</f>
        <v>10743</v>
      </c>
      <c r="H122" s="652" t="s">
        <v>704</v>
      </c>
      <c r="I122" s="43" t="s">
        <v>708</v>
      </c>
    </row>
    <row r="123" spans="1:9" x14ac:dyDescent="0.25">
      <c r="A123" s="10"/>
      <c r="B123" s="11"/>
      <c r="C123" s="11"/>
      <c r="D123" s="647" t="s">
        <v>151</v>
      </c>
      <c r="E123" s="663">
        <v>-29</v>
      </c>
      <c r="F123" s="665">
        <v>-50</v>
      </c>
      <c r="G123" s="666">
        <v>-51</v>
      </c>
      <c r="H123" s="652" t="s">
        <v>704</v>
      </c>
      <c r="I123" s="43" t="s">
        <v>708</v>
      </c>
    </row>
    <row r="124" spans="1:9" x14ac:dyDescent="0.25">
      <c r="A124" s="10"/>
      <c r="B124" s="11"/>
      <c r="C124" s="11"/>
      <c r="D124" s="647"/>
      <c r="E124" s="667">
        <f>SUM(E121:E123)</f>
        <v>-2648</v>
      </c>
      <c r="F124" s="668">
        <f>SUM(F121:F123)</f>
        <v>-2548</v>
      </c>
      <c r="G124" s="658">
        <f>SUM(G121:G123)</f>
        <v>10692</v>
      </c>
      <c r="H124" s="222"/>
      <c r="I124" s="120"/>
    </row>
    <row r="125" spans="1:9" x14ac:dyDescent="0.25">
      <c r="A125" s="10"/>
      <c r="B125" s="11"/>
      <c r="C125" s="11"/>
      <c r="D125" s="655"/>
      <c r="E125" s="159"/>
      <c r="F125" s="659"/>
      <c r="G125" s="651"/>
      <c r="H125" s="222"/>
      <c r="I125" s="120"/>
    </row>
    <row r="126" spans="1:9" x14ac:dyDescent="0.25">
      <c r="A126" s="10"/>
      <c r="B126" s="11"/>
      <c r="C126" s="11"/>
      <c r="D126" s="616" t="s">
        <v>154</v>
      </c>
      <c r="E126" s="116"/>
      <c r="F126" s="659">
        <f>-821+821</f>
        <v>0</v>
      </c>
      <c r="G126" s="651">
        <f>591-591</f>
        <v>0</v>
      </c>
      <c r="H126" s="652" t="s">
        <v>709</v>
      </c>
      <c r="I126" s="43" t="s">
        <v>705</v>
      </c>
    </row>
    <row r="127" spans="1:9" x14ac:dyDescent="0.25">
      <c r="A127" s="10"/>
      <c r="B127" s="11"/>
      <c r="C127" s="11"/>
      <c r="D127" s="655"/>
      <c r="E127" s="159"/>
      <c r="F127" s="659"/>
      <c r="G127" s="651"/>
      <c r="H127" s="222"/>
      <c r="I127" s="120"/>
    </row>
    <row r="128" spans="1:9" ht="15.75" thickBot="1" x14ac:dyDescent="0.3">
      <c r="A128" s="10"/>
      <c r="B128" s="11"/>
      <c r="C128" s="11"/>
      <c r="D128" s="655"/>
      <c r="E128" s="669">
        <f>SUM(E108,E118,E124,E126)</f>
        <v>463</v>
      </c>
      <c r="F128" s="670">
        <f>SUM(F108,F118,F124,F126)</f>
        <v>1128</v>
      </c>
      <c r="G128" s="671">
        <f>SUM(G108,G118,G124,G126)</f>
        <v>-1069</v>
      </c>
      <c r="H128" s="222"/>
      <c r="I128" s="120"/>
    </row>
    <row r="129" spans="1:9" ht="15.75" thickTop="1" x14ac:dyDescent="0.25">
      <c r="A129" s="10"/>
      <c r="B129" s="11"/>
      <c r="C129" s="11"/>
      <c r="D129" s="655"/>
      <c r="E129" s="672" t="b">
        <f>E128=E101</f>
        <v>1</v>
      </c>
      <c r="F129" s="592" t="b">
        <f>F128=F101</f>
        <v>0</v>
      </c>
      <c r="G129" s="673" t="b">
        <f>G128=G101</f>
        <v>1</v>
      </c>
      <c r="H129" s="222"/>
      <c r="I129" s="120"/>
    </row>
    <row r="130" spans="1:9" x14ac:dyDescent="0.25">
      <c r="A130" s="10"/>
      <c r="B130" s="11"/>
      <c r="C130" s="11"/>
      <c r="D130" s="655"/>
      <c r="E130" s="674"/>
      <c r="F130" s="639"/>
      <c r="G130" s="638"/>
      <c r="H130" s="222"/>
      <c r="I130" s="120"/>
    </row>
    <row r="131" spans="1:9" x14ac:dyDescent="0.25">
      <c r="A131" s="10"/>
      <c r="B131" s="11"/>
      <c r="C131" s="11"/>
      <c r="D131" s="616" t="s">
        <v>155</v>
      </c>
      <c r="E131" s="116"/>
      <c r="F131" s="639"/>
      <c r="G131" s="638"/>
      <c r="H131" s="222"/>
      <c r="I131" s="120"/>
    </row>
    <row r="132" spans="1:9" x14ac:dyDescent="0.25">
      <c r="A132" s="10"/>
      <c r="B132" s="11"/>
      <c r="C132" s="11"/>
      <c r="D132" s="675" t="s">
        <v>156</v>
      </c>
      <c r="E132" s="174"/>
      <c r="F132" s="639"/>
      <c r="G132" s="638"/>
      <c r="H132" s="222"/>
      <c r="I132" s="120"/>
    </row>
    <row r="133" spans="1:9" x14ac:dyDescent="0.25">
      <c r="A133" s="10"/>
      <c r="B133" s="11"/>
      <c r="C133" s="11"/>
      <c r="D133" s="676" t="s">
        <v>157</v>
      </c>
      <c r="E133" s="677">
        <v>3.2599999999999997E-2</v>
      </c>
      <c r="F133" s="678">
        <v>4.3299999999999998E-2</v>
      </c>
      <c r="G133" s="178">
        <v>3.8600000000000002E-2</v>
      </c>
      <c r="H133" s="451" t="s">
        <v>710</v>
      </c>
      <c r="I133" s="451" t="s">
        <v>711</v>
      </c>
    </row>
    <row r="134" spans="1:9" x14ac:dyDescent="0.25">
      <c r="A134" s="10"/>
      <c r="B134" s="11"/>
      <c r="C134" s="11"/>
      <c r="D134" s="676" t="s">
        <v>160</v>
      </c>
      <c r="E134" s="677">
        <v>3.1899999999999998E-2</v>
      </c>
      <c r="F134" s="678">
        <v>3.3099999999999997E-2</v>
      </c>
      <c r="G134" s="178">
        <v>3.8399999999999997E-2</v>
      </c>
      <c r="H134" s="451" t="s">
        <v>710</v>
      </c>
      <c r="I134" s="451" t="s">
        <v>711</v>
      </c>
    </row>
    <row r="135" spans="1:9" x14ac:dyDescent="0.25">
      <c r="A135" s="10"/>
      <c r="B135" s="11"/>
      <c r="C135" s="11"/>
      <c r="D135" s="676" t="s">
        <v>161</v>
      </c>
      <c r="E135" s="677">
        <v>3.3500000000000002E-2</v>
      </c>
      <c r="F135" s="678">
        <v>3.4000000000000002E-2</v>
      </c>
      <c r="G135" s="178">
        <v>3.8300000000000001E-2</v>
      </c>
      <c r="H135" s="451" t="s">
        <v>710</v>
      </c>
      <c r="I135" s="451" t="s">
        <v>711</v>
      </c>
    </row>
    <row r="136" spans="1:9" x14ac:dyDescent="0.25">
      <c r="A136" s="10"/>
      <c r="B136" s="11"/>
      <c r="C136" s="11"/>
      <c r="D136" s="676" t="s">
        <v>162</v>
      </c>
      <c r="E136" s="677">
        <v>3.4299999999999997E-2</v>
      </c>
      <c r="F136" s="678">
        <v>3.49E-2</v>
      </c>
      <c r="G136" s="178">
        <v>3.78E-2</v>
      </c>
      <c r="H136" s="451" t="s">
        <v>710</v>
      </c>
      <c r="I136" s="451" t="s">
        <v>711</v>
      </c>
    </row>
    <row r="137" spans="1:9" x14ac:dyDescent="0.25">
      <c r="A137" s="10"/>
      <c r="B137" s="11"/>
      <c r="C137" s="11"/>
      <c r="D137" s="676" t="s">
        <v>163</v>
      </c>
      <c r="E137" s="677">
        <v>3.3700000000000001E-2</v>
      </c>
      <c r="F137" s="678">
        <v>3.4299999999999997E-2</v>
      </c>
      <c r="G137" s="178">
        <v>3.5299999999999998E-2</v>
      </c>
      <c r="H137" s="451" t="s">
        <v>710</v>
      </c>
      <c r="I137" s="451" t="s">
        <v>711</v>
      </c>
    </row>
    <row r="138" spans="1:9" x14ac:dyDescent="0.25">
      <c r="A138" s="10"/>
      <c r="B138" s="11"/>
      <c r="C138" s="11"/>
      <c r="D138" s="676" t="s">
        <v>164</v>
      </c>
      <c r="E138" s="677">
        <v>3.1199999999999999E-2</v>
      </c>
      <c r="F138" s="678">
        <v>3.2099999999999997E-2</v>
      </c>
      <c r="G138" s="178">
        <v>3.0499999999999999E-2</v>
      </c>
      <c r="H138" s="451" t="s">
        <v>710</v>
      </c>
      <c r="I138" s="451" t="s">
        <v>711</v>
      </c>
    </row>
    <row r="139" spans="1:9" x14ac:dyDescent="0.25">
      <c r="A139" s="10"/>
      <c r="B139" s="11"/>
      <c r="C139" s="11"/>
      <c r="D139" s="676" t="s">
        <v>165</v>
      </c>
      <c r="E139" s="679" t="s">
        <v>166</v>
      </c>
      <c r="F139" s="680" t="s">
        <v>166</v>
      </c>
      <c r="G139" s="178" t="s">
        <v>166</v>
      </c>
      <c r="H139" s="451" t="s">
        <v>710</v>
      </c>
      <c r="I139" s="451" t="s">
        <v>711</v>
      </c>
    </row>
    <row r="140" spans="1:9" x14ac:dyDescent="0.25">
      <c r="A140" s="10"/>
      <c r="B140" s="11"/>
      <c r="C140" s="11"/>
      <c r="D140" s="676" t="s">
        <v>167</v>
      </c>
      <c r="E140" s="677">
        <v>2.9899999999999999E-2</v>
      </c>
      <c r="F140" s="678">
        <v>3.0499999999999999E-2</v>
      </c>
      <c r="G140" s="178">
        <v>2.7900000000000001E-2</v>
      </c>
      <c r="H140" s="451" t="s">
        <v>710</v>
      </c>
      <c r="I140" s="451" t="s">
        <v>711</v>
      </c>
    </row>
    <row r="141" spans="1:9" x14ac:dyDescent="0.25">
      <c r="A141" s="10"/>
      <c r="B141" s="11"/>
      <c r="C141" s="11"/>
      <c r="D141" s="676"/>
      <c r="E141" s="175"/>
      <c r="F141" s="639"/>
      <c r="G141" s="638"/>
      <c r="H141" s="222"/>
      <c r="I141" s="222"/>
    </row>
    <row r="142" spans="1:9" x14ac:dyDescent="0.25">
      <c r="A142" s="10"/>
      <c r="B142" s="11"/>
      <c r="C142" s="11"/>
      <c r="D142" s="675" t="s">
        <v>168</v>
      </c>
      <c r="E142" s="174"/>
      <c r="F142" s="639"/>
      <c r="G142" s="638"/>
      <c r="H142" s="222"/>
      <c r="I142" s="120"/>
    </row>
    <row r="143" spans="1:9" x14ac:dyDescent="0.25">
      <c r="A143" s="10"/>
      <c r="B143" s="11"/>
      <c r="C143" s="11"/>
      <c r="D143" s="676" t="s">
        <v>157</v>
      </c>
      <c r="E143" s="677">
        <v>3.5200000000000002E-2</v>
      </c>
      <c r="F143" s="678">
        <v>4.5699999999999998E-2</v>
      </c>
      <c r="G143" s="178">
        <v>4.2000000000000003E-2</v>
      </c>
      <c r="H143" s="451" t="s">
        <v>710</v>
      </c>
      <c r="I143" s="451" t="s">
        <v>711</v>
      </c>
    </row>
    <row r="144" spans="1:9" x14ac:dyDescent="0.25">
      <c r="A144" s="10"/>
      <c r="B144" s="11"/>
      <c r="C144" s="11"/>
      <c r="D144" s="676" t="s">
        <v>160</v>
      </c>
      <c r="E144" s="677">
        <v>3.44E-2</v>
      </c>
      <c r="F144" s="678">
        <v>3.5499999999999997E-2</v>
      </c>
      <c r="G144" s="178">
        <v>4.1599999999999998E-2</v>
      </c>
      <c r="H144" s="451" t="s">
        <v>710</v>
      </c>
      <c r="I144" s="451" t="s">
        <v>711</v>
      </c>
    </row>
    <row r="145" spans="1:9" x14ac:dyDescent="0.25">
      <c r="A145" s="10"/>
      <c r="B145" s="11"/>
      <c r="C145" s="11"/>
      <c r="D145" s="681" t="s">
        <v>161</v>
      </c>
      <c r="E145" s="677">
        <v>3.5999999999999997E-2</v>
      </c>
      <c r="F145" s="678">
        <v>3.6400000000000002E-2</v>
      </c>
      <c r="G145" s="178">
        <v>4.1500000000000002E-2</v>
      </c>
      <c r="H145" s="451" t="s">
        <v>710</v>
      </c>
      <c r="I145" s="451" t="s">
        <v>711</v>
      </c>
    </row>
    <row r="146" spans="1:9" x14ac:dyDescent="0.25">
      <c r="A146" s="10"/>
      <c r="B146" s="11"/>
      <c r="C146" s="11"/>
      <c r="D146" s="676" t="s">
        <v>162</v>
      </c>
      <c r="E146" s="677">
        <v>3.6799999999999999E-2</v>
      </c>
      <c r="F146" s="678">
        <v>3.73E-2</v>
      </c>
      <c r="G146" s="178">
        <v>4.0800000000000003E-2</v>
      </c>
      <c r="H146" s="451" t="s">
        <v>710</v>
      </c>
      <c r="I146" s="451" t="s">
        <v>711</v>
      </c>
    </row>
    <row r="147" spans="1:9" x14ac:dyDescent="0.25">
      <c r="A147" s="10"/>
      <c r="B147" s="11"/>
      <c r="C147" s="11"/>
      <c r="D147" s="676" t="s">
        <v>163</v>
      </c>
      <c r="E147" s="677">
        <v>3.61E-2</v>
      </c>
      <c r="F147" s="678">
        <v>3.6700000000000003E-2</v>
      </c>
      <c r="G147" s="178">
        <v>3.8300000000000001E-2</v>
      </c>
      <c r="H147" s="451" t="s">
        <v>710</v>
      </c>
      <c r="I147" s="451" t="s">
        <v>711</v>
      </c>
    </row>
    <row r="148" spans="1:9" x14ac:dyDescent="0.25">
      <c r="A148" s="10"/>
      <c r="B148" s="11"/>
      <c r="C148" s="11"/>
      <c r="D148" s="676" t="s">
        <v>164</v>
      </c>
      <c r="E148" s="677">
        <v>3.3599999999999998E-2</v>
      </c>
      <c r="F148" s="678">
        <v>3.4500000000000003E-2</v>
      </c>
      <c r="G148" s="178">
        <v>3.3399999999999999E-2</v>
      </c>
      <c r="H148" s="451" t="s">
        <v>710</v>
      </c>
      <c r="I148" s="451" t="s">
        <v>711</v>
      </c>
    </row>
    <row r="149" spans="1:9" x14ac:dyDescent="0.25">
      <c r="A149" s="10"/>
      <c r="B149" s="11"/>
      <c r="C149" s="11"/>
      <c r="D149" s="676" t="s">
        <v>165</v>
      </c>
      <c r="E149" s="679" t="s">
        <v>166</v>
      </c>
      <c r="F149" s="680" t="s">
        <v>166</v>
      </c>
      <c r="G149" s="178" t="s">
        <v>166</v>
      </c>
      <c r="H149" s="451" t="s">
        <v>710</v>
      </c>
      <c r="I149" s="451" t="s">
        <v>711</v>
      </c>
    </row>
    <row r="150" spans="1:9" x14ac:dyDescent="0.25">
      <c r="A150" s="10"/>
      <c r="B150" s="11"/>
      <c r="C150" s="11"/>
      <c r="D150" s="676" t="s">
        <v>167</v>
      </c>
      <c r="E150" s="677">
        <v>3.2300000000000002E-2</v>
      </c>
      <c r="F150" s="678">
        <v>3.2899999999999999E-2</v>
      </c>
      <c r="G150" s="178">
        <v>3.0800000000000001E-2</v>
      </c>
      <c r="H150" s="451" t="s">
        <v>710</v>
      </c>
      <c r="I150" s="451" t="s">
        <v>711</v>
      </c>
    </row>
    <row r="151" spans="1:9" x14ac:dyDescent="0.25">
      <c r="A151" s="10"/>
      <c r="B151" s="11"/>
      <c r="C151" s="11"/>
      <c r="D151" s="558"/>
      <c r="E151" s="33"/>
      <c r="F151" s="573"/>
      <c r="G151" s="571"/>
      <c r="H151" s="222"/>
      <c r="I151" s="222"/>
    </row>
    <row r="152" spans="1:9" x14ac:dyDescent="0.25">
      <c r="A152" s="10"/>
      <c r="B152" s="11"/>
      <c r="C152" s="11"/>
      <c r="D152" s="675" t="s">
        <v>170</v>
      </c>
      <c r="E152" s="174"/>
      <c r="F152" s="573"/>
      <c r="G152" s="571"/>
      <c r="H152" s="222"/>
      <c r="I152" s="120"/>
    </row>
    <row r="153" spans="1:9" x14ac:dyDescent="0.25">
      <c r="A153" s="10"/>
      <c r="B153" s="11"/>
      <c r="C153" s="11"/>
      <c r="D153" s="681" t="s">
        <v>171</v>
      </c>
      <c r="E153" s="682">
        <v>30</v>
      </c>
      <c r="F153" s="683">
        <v>30</v>
      </c>
      <c r="G153" s="684"/>
      <c r="H153" s="451" t="s">
        <v>712</v>
      </c>
      <c r="I153" s="451" t="s">
        <v>713</v>
      </c>
    </row>
    <row r="154" spans="1:9" x14ac:dyDescent="0.25">
      <c r="A154" s="10"/>
      <c r="B154" s="11"/>
      <c r="C154" s="11"/>
      <c r="D154" s="681" t="s">
        <v>173</v>
      </c>
      <c r="E154" s="685">
        <v>0.02</v>
      </c>
      <c r="F154" s="686">
        <v>0.02</v>
      </c>
      <c r="G154" s="687"/>
      <c r="H154" s="451" t="s">
        <v>712</v>
      </c>
      <c r="I154" s="451" t="s">
        <v>713</v>
      </c>
    </row>
    <row r="155" spans="1:9" x14ac:dyDescent="0.25">
      <c r="A155" s="10"/>
      <c r="B155" s="11"/>
      <c r="C155" s="11"/>
      <c r="D155" s="558"/>
      <c r="E155" s="33"/>
      <c r="F155" s="573"/>
      <c r="G155" s="571"/>
      <c r="H155" s="222"/>
      <c r="I155" s="222"/>
    </row>
    <row r="156" spans="1:9" x14ac:dyDescent="0.25">
      <c r="A156" s="10"/>
      <c r="B156" s="11"/>
      <c r="C156" s="11"/>
      <c r="D156" s="558"/>
      <c r="E156" s="33"/>
      <c r="F156" s="573"/>
      <c r="G156" s="571"/>
      <c r="H156" s="222"/>
      <c r="I156" s="222"/>
    </row>
    <row r="157" spans="1:9" s="44" customFormat="1" x14ac:dyDescent="0.25">
      <c r="A157" s="39"/>
      <c r="B157" s="32"/>
      <c r="C157" s="32"/>
      <c r="D157" s="641" t="s">
        <v>174</v>
      </c>
      <c r="E157" s="110">
        <f>-72+29+4</f>
        <v>-39</v>
      </c>
      <c r="F157" s="613">
        <f>-196+4+50</f>
        <v>-142</v>
      </c>
      <c r="G157" s="614">
        <f>-85+1+51</f>
        <v>-33</v>
      </c>
      <c r="H157" s="688" t="s">
        <v>409</v>
      </c>
      <c r="I157" s="689" t="s">
        <v>67</v>
      </c>
    </row>
    <row r="158" spans="1:9" x14ac:dyDescent="0.25">
      <c r="A158" s="10"/>
      <c r="B158" s="11"/>
      <c r="C158" s="11"/>
      <c r="D158" s="690" t="s">
        <v>176</v>
      </c>
      <c r="E158" s="691">
        <v>13</v>
      </c>
      <c r="F158" s="660">
        <v>14</v>
      </c>
      <c r="G158" s="666">
        <v>7</v>
      </c>
      <c r="H158" s="88" t="s">
        <v>714</v>
      </c>
      <c r="I158" s="88" t="s">
        <v>715</v>
      </c>
    </row>
    <row r="159" spans="1:9" x14ac:dyDescent="0.25">
      <c r="A159" s="10"/>
      <c r="B159" s="11"/>
      <c r="C159" s="11"/>
      <c r="D159" s="690" t="s">
        <v>179</v>
      </c>
      <c r="E159" s="691">
        <v>-56</v>
      </c>
      <c r="F159" s="650">
        <f>-159</f>
        <v>-159</v>
      </c>
      <c r="G159" s="666">
        <v>-41</v>
      </c>
      <c r="H159" s="88" t="s">
        <v>714</v>
      </c>
      <c r="I159" s="88" t="s">
        <v>715</v>
      </c>
    </row>
    <row r="160" spans="1:9" s="44" customFormat="1" x14ac:dyDescent="0.25">
      <c r="A160" s="39"/>
      <c r="B160" s="32"/>
      <c r="C160" s="32"/>
      <c r="D160" s="690" t="s">
        <v>182</v>
      </c>
      <c r="E160" s="691">
        <v>4</v>
      </c>
      <c r="F160" s="618">
        <v>4</v>
      </c>
      <c r="G160" s="646">
        <v>1</v>
      </c>
      <c r="H160" s="88" t="s">
        <v>714</v>
      </c>
      <c r="I160" s="88" t="s">
        <v>715</v>
      </c>
    </row>
    <row r="161" spans="1:9" x14ac:dyDescent="0.25">
      <c r="A161" s="10"/>
      <c r="B161" s="11"/>
      <c r="C161" s="11"/>
      <c r="D161" s="690" t="s">
        <v>129</v>
      </c>
      <c r="E161" s="692">
        <v>0</v>
      </c>
      <c r="F161" s="693">
        <v>0</v>
      </c>
      <c r="G161" s="666">
        <v>0</v>
      </c>
      <c r="H161" s="666"/>
      <c r="I161" s="43"/>
    </row>
    <row r="162" spans="1:9" ht="15.75" thickBot="1" x14ac:dyDescent="0.3">
      <c r="A162" s="10"/>
      <c r="B162" s="11"/>
      <c r="C162" s="11"/>
      <c r="D162" s="690"/>
      <c r="E162" s="669">
        <f>SUM(E158:E161)</f>
        <v>-39</v>
      </c>
      <c r="F162" s="670">
        <f>SUM(F158:F161)</f>
        <v>-141</v>
      </c>
      <c r="G162" s="671">
        <f>SUM(G158:G161)</f>
        <v>-33</v>
      </c>
      <c r="H162" s="666"/>
      <c r="I162" s="120"/>
    </row>
    <row r="163" spans="1:9" ht="15.75" thickTop="1" x14ac:dyDescent="0.25">
      <c r="A163" s="10"/>
      <c r="B163" s="11"/>
      <c r="C163" s="11"/>
      <c r="D163" s="690"/>
      <c r="E163" s="672" t="b">
        <f>E157=E162</f>
        <v>1</v>
      </c>
      <c r="F163" s="592" t="b">
        <f>F157=F162</f>
        <v>0</v>
      </c>
      <c r="G163" s="673" t="b">
        <f>G157=G162</f>
        <v>1</v>
      </c>
      <c r="H163" s="638"/>
      <c r="I163" s="120"/>
    </row>
    <row r="164" spans="1:9" x14ac:dyDescent="0.25">
      <c r="A164" s="10"/>
      <c r="B164" s="11"/>
      <c r="C164" s="11"/>
      <c r="D164" s="690"/>
      <c r="E164" s="190"/>
      <c r="F164" s="693"/>
      <c r="G164" s="666"/>
      <c r="H164" s="666"/>
      <c r="I164" s="120"/>
    </row>
    <row r="165" spans="1:9" ht="15.75" thickBot="1" x14ac:dyDescent="0.3">
      <c r="A165" s="10"/>
      <c r="B165" s="11"/>
      <c r="C165" s="11"/>
      <c r="D165" s="694" t="s">
        <v>185</v>
      </c>
      <c r="E165" s="695">
        <v>604</v>
      </c>
      <c r="F165" s="696">
        <v>1147</v>
      </c>
      <c r="G165" s="697">
        <v>-934</v>
      </c>
      <c r="H165" s="666" t="s">
        <v>409</v>
      </c>
      <c r="I165" s="120"/>
    </row>
    <row r="166" spans="1:9" ht="15.75" thickTop="1" x14ac:dyDescent="0.25">
      <c r="A166" s="10"/>
      <c r="B166" s="11"/>
      <c r="C166" s="11"/>
      <c r="D166" s="690"/>
      <c r="E166" s="590" t="b">
        <f>E165-SUM(E60,E99,E101,E157)=0</f>
        <v>0</v>
      </c>
      <c r="F166" s="591" t="b">
        <f>F165-SUM(F60,F99,F101,F157)=0</f>
        <v>0</v>
      </c>
      <c r="G166" s="673" t="b">
        <f>G165-SUM(G60,G99,G101,G157)=0</f>
        <v>1</v>
      </c>
      <c r="H166" s="638"/>
      <c r="I166" s="120"/>
    </row>
    <row r="167" spans="1:9" x14ac:dyDescent="0.25">
      <c r="A167" s="10"/>
      <c r="B167" s="11"/>
      <c r="C167" s="11"/>
      <c r="D167" s="698"/>
      <c r="E167" s="203"/>
      <c r="F167" s="639"/>
      <c r="G167" s="638"/>
      <c r="H167" s="638"/>
      <c r="I167" s="120"/>
    </row>
    <row r="168" spans="1:9" x14ac:dyDescent="0.25">
      <c r="A168" s="10"/>
      <c r="B168" s="25" t="s">
        <v>186</v>
      </c>
      <c r="C168" s="26"/>
      <c r="D168" s="556"/>
      <c r="E168" s="27"/>
      <c r="F168" s="366"/>
      <c r="G168" s="557"/>
      <c r="H168" s="557"/>
      <c r="I168" s="31"/>
    </row>
    <row r="169" spans="1:9" x14ac:dyDescent="0.25">
      <c r="A169" s="10"/>
      <c r="B169" s="204" t="s">
        <v>187</v>
      </c>
      <c r="C169" s="204"/>
      <c r="D169" s="204"/>
      <c r="E169" s="205"/>
      <c r="F169" s="699"/>
      <c r="G169" s="700"/>
      <c r="H169" s="700"/>
      <c r="I169" s="209"/>
    </row>
    <row r="170" spans="1:9" x14ac:dyDescent="0.25">
      <c r="A170" s="10"/>
      <c r="B170" s="11"/>
      <c r="C170" s="104" t="s">
        <v>188</v>
      </c>
      <c r="D170" s="610"/>
      <c r="E170" s="105"/>
      <c r="F170" s="611"/>
      <c r="G170" s="612"/>
      <c r="H170" s="612"/>
      <c r="I170" s="109"/>
    </row>
    <row r="171" spans="1:9" x14ac:dyDescent="0.25">
      <c r="A171" s="39"/>
      <c r="B171" s="32"/>
      <c r="C171" s="32"/>
      <c r="D171" s="701" t="s">
        <v>189</v>
      </c>
      <c r="E171" s="210">
        <v>1876</v>
      </c>
      <c r="F171" s="212">
        <v>2240</v>
      </c>
      <c r="G171" s="213">
        <v>2104</v>
      </c>
      <c r="H171" s="652" t="s">
        <v>677</v>
      </c>
      <c r="I171" s="43" t="s">
        <v>716</v>
      </c>
    </row>
    <row r="172" spans="1:9" x14ac:dyDescent="0.25">
      <c r="A172" s="10"/>
      <c r="B172" s="11"/>
      <c r="C172" s="11"/>
      <c r="D172" s="690" t="s">
        <v>192</v>
      </c>
      <c r="E172" s="691">
        <f>134-E173</f>
        <v>134</v>
      </c>
      <c r="F172" s="702">
        <f>62-F173</f>
        <v>39</v>
      </c>
      <c r="G172" s="216">
        <v>55</v>
      </c>
      <c r="H172" s="652" t="s">
        <v>677</v>
      </c>
      <c r="I172" s="43" t="s">
        <v>716</v>
      </c>
    </row>
    <row r="173" spans="1:9" x14ac:dyDescent="0.25">
      <c r="A173" s="10"/>
      <c r="B173" s="11"/>
      <c r="C173" s="11"/>
      <c r="D173" s="690" t="s">
        <v>194</v>
      </c>
      <c r="E173" s="691">
        <v>0</v>
      </c>
      <c r="F173" s="702">
        <v>23</v>
      </c>
      <c r="G173" s="216">
        <v>0</v>
      </c>
      <c r="H173" s="652" t="s">
        <v>677</v>
      </c>
      <c r="I173" s="43" t="s">
        <v>717</v>
      </c>
    </row>
    <row r="174" spans="1:9" x14ac:dyDescent="0.25">
      <c r="A174" s="10"/>
      <c r="B174" s="11"/>
      <c r="C174" s="11"/>
      <c r="D174" s="690" t="s">
        <v>195</v>
      </c>
      <c r="E174" s="691">
        <v>13</v>
      </c>
      <c r="F174" s="702">
        <v>6</v>
      </c>
      <c r="G174" s="216">
        <v>-3</v>
      </c>
      <c r="H174" s="652" t="s">
        <v>677</v>
      </c>
      <c r="I174" s="43" t="s">
        <v>716</v>
      </c>
    </row>
    <row r="175" spans="1:9" x14ac:dyDescent="0.25">
      <c r="A175" s="10"/>
      <c r="B175" s="11"/>
      <c r="C175" s="11"/>
      <c r="D175" s="690" t="s">
        <v>197</v>
      </c>
      <c r="E175" s="691">
        <v>145</v>
      </c>
      <c r="F175" s="702">
        <v>-259</v>
      </c>
      <c r="G175" s="216">
        <v>255</v>
      </c>
      <c r="H175" s="652" t="s">
        <v>677</v>
      </c>
      <c r="I175" s="43" t="s">
        <v>716</v>
      </c>
    </row>
    <row r="176" spans="1:9" x14ac:dyDescent="0.25">
      <c r="A176" s="10"/>
      <c r="B176" s="11"/>
      <c r="C176" s="11"/>
      <c r="D176" s="690" t="s">
        <v>198</v>
      </c>
      <c r="E176" s="691">
        <v>-175</v>
      </c>
      <c r="F176" s="702">
        <v>-173</v>
      </c>
      <c r="G176" s="216">
        <v>-171</v>
      </c>
      <c r="H176" s="652" t="s">
        <v>677</v>
      </c>
      <c r="I176" s="43" t="s">
        <v>716</v>
      </c>
    </row>
    <row r="177" spans="1:9" x14ac:dyDescent="0.25">
      <c r="A177" s="10"/>
      <c r="B177" s="11"/>
      <c r="C177" s="11"/>
      <c r="D177" s="690" t="s">
        <v>201</v>
      </c>
      <c r="E177" s="214">
        <v>0</v>
      </c>
      <c r="F177" s="215">
        <v>0</v>
      </c>
      <c r="G177" s="216">
        <v>0</v>
      </c>
      <c r="H177" s="652" t="s">
        <v>677</v>
      </c>
      <c r="I177" s="43" t="s">
        <v>716</v>
      </c>
    </row>
    <row r="178" spans="1:9" x14ac:dyDescent="0.25">
      <c r="A178" s="10"/>
      <c r="B178" s="11"/>
      <c r="C178" s="11"/>
      <c r="D178" s="690" t="s">
        <v>202</v>
      </c>
      <c r="E178" s="214">
        <v>1</v>
      </c>
      <c r="F178" s="215">
        <v>0</v>
      </c>
      <c r="G178" s="216">
        <v>0</v>
      </c>
      <c r="H178" s="652" t="s">
        <v>677</v>
      </c>
      <c r="I178" s="43" t="s">
        <v>716</v>
      </c>
    </row>
    <row r="179" spans="1:9" ht="15.75" thickBot="1" x14ac:dyDescent="0.3">
      <c r="A179" s="39"/>
      <c r="B179" s="32"/>
      <c r="C179" s="32"/>
      <c r="D179" s="701" t="s">
        <v>204</v>
      </c>
      <c r="E179" s="703">
        <v>1994</v>
      </c>
      <c r="F179" s="704">
        <v>1876</v>
      </c>
      <c r="G179" s="219">
        <v>2240</v>
      </c>
      <c r="H179" s="652" t="s">
        <v>677</v>
      </c>
      <c r="I179" s="43" t="s">
        <v>716</v>
      </c>
    </row>
    <row r="180" spans="1:9" ht="15.75" thickTop="1" x14ac:dyDescent="0.25">
      <c r="A180" s="39"/>
      <c r="B180" s="32"/>
      <c r="C180" s="32"/>
      <c r="D180" s="701"/>
      <c r="E180" s="636" t="b">
        <f>SUM(E171:E178)=E179</f>
        <v>1</v>
      </c>
      <c r="F180" s="637" t="b">
        <f>SUM(F171:F178)=F179</f>
        <v>1</v>
      </c>
      <c r="G180" s="705" t="b">
        <f>SUM(G171:G178)=G179</f>
        <v>1</v>
      </c>
      <c r="H180" s="120"/>
      <c r="I180" s="120"/>
    </row>
    <row r="181" spans="1:9" x14ac:dyDescent="0.25">
      <c r="A181" s="39"/>
      <c r="B181" s="32"/>
      <c r="C181" s="32"/>
      <c r="D181" s="701"/>
      <c r="E181" s="636" t="b">
        <f>+E176=-E61</f>
        <v>1</v>
      </c>
      <c r="F181" s="637" t="b">
        <f>+F176=-F61</f>
        <v>1</v>
      </c>
      <c r="G181" s="705" t="b">
        <f>+G176=-G61</f>
        <v>1</v>
      </c>
      <c r="H181" s="120"/>
      <c r="I181" s="74" t="s">
        <v>718</v>
      </c>
    </row>
    <row r="182" spans="1:9" x14ac:dyDescent="0.25">
      <c r="A182" s="39"/>
      <c r="B182" s="32"/>
      <c r="C182" s="32"/>
      <c r="D182" s="701"/>
      <c r="E182" s="636" t="b">
        <f>E179=E29</f>
        <v>1</v>
      </c>
      <c r="F182" s="637" t="b">
        <f>F179=F29</f>
        <v>1</v>
      </c>
      <c r="G182" s="705" t="b">
        <f>G179=G29</f>
        <v>1</v>
      </c>
      <c r="H182" s="120"/>
      <c r="I182" s="120"/>
    </row>
    <row r="183" spans="1:9" x14ac:dyDescent="0.25">
      <c r="A183" s="39"/>
      <c r="B183" s="32"/>
      <c r="C183" s="32"/>
      <c r="D183" s="701"/>
      <c r="E183" s="210"/>
      <c r="F183" s="706"/>
      <c r="G183" s="638"/>
      <c r="H183" s="120"/>
      <c r="I183" s="120"/>
    </row>
    <row r="184" spans="1:9" x14ac:dyDescent="0.25">
      <c r="A184" s="10"/>
      <c r="B184" s="246"/>
      <c r="C184" s="104" t="s">
        <v>244</v>
      </c>
      <c r="D184" s="707"/>
      <c r="E184" s="247"/>
      <c r="F184" s="708"/>
      <c r="G184" s="709"/>
      <c r="H184" s="709"/>
      <c r="I184" s="109"/>
    </row>
    <row r="185" spans="1:9" x14ac:dyDescent="0.25">
      <c r="A185" s="10"/>
      <c r="B185" s="246"/>
      <c r="C185" s="246"/>
      <c r="D185" s="710" t="s">
        <v>245</v>
      </c>
      <c r="E185" s="711">
        <v>136</v>
      </c>
      <c r="F185" s="712">
        <v>139</v>
      </c>
      <c r="G185" s="713">
        <v>139</v>
      </c>
      <c r="H185" s="43" t="s">
        <v>719</v>
      </c>
      <c r="I185" s="43" t="s">
        <v>720</v>
      </c>
    </row>
    <row r="186" spans="1:9" x14ac:dyDescent="0.25">
      <c r="A186" s="10"/>
      <c r="B186" s="246"/>
      <c r="C186" s="246"/>
      <c r="D186" s="710" t="s">
        <v>248</v>
      </c>
      <c r="E186" s="714">
        <v>452</v>
      </c>
      <c r="F186" s="715">
        <v>451</v>
      </c>
      <c r="G186" s="716">
        <v>471</v>
      </c>
      <c r="H186" s="43" t="s">
        <v>719</v>
      </c>
      <c r="I186" s="43" t="s">
        <v>720</v>
      </c>
    </row>
    <row r="187" spans="1:9" x14ac:dyDescent="0.25">
      <c r="A187" s="10"/>
      <c r="B187" s="246"/>
      <c r="C187" s="246"/>
      <c r="D187" s="710" t="s">
        <v>249</v>
      </c>
      <c r="E187" s="714"/>
      <c r="F187" s="715"/>
      <c r="G187" s="716"/>
      <c r="H187" s="43" t="s">
        <v>719</v>
      </c>
      <c r="I187" s="43" t="s">
        <v>720</v>
      </c>
    </row>
    <row r="188" spans="1:9" x14ac:dyDescent="0.25">
      <c r="A188" s="10"/>
      <c r="B188" s="246"/>
      <c r="C188" s="246"/>
      <c r="D188" s="710" t="s">
        <v>250</v>
      </c>
      <c r="E188" s="714"/>
      <c r="F188" s="715"/>
      <c r="G188" s="716"/>
      <c r="H188" s="43" t="s">
        <v>719</v>
      </c>
      <c r="I188" s="43" t="s">
        <v>720</v>
      </c>
    </row>
    <row r="189" spans="1:9" x14ac:dyDescent="0.25">
      <c r="A189" s="10"/>
      <c r="B189" s="246"/>
      <c r="C189" s="246"/>
      <c r="D189" s="710" t="s">
        <v>251</v>
      </c>
      <c r="E189" s="714"/>
      <c r="F189" s="715"/>
      <c r="G189" s="716"/>
      <c r="H189" s="43" t="s">
        <v>719</v>
      </c>
      <c r="I189" s="43" t="s">
        <v>720</v>
      </c>
    </row>
    <row r="190" spans="1:9" x14ac:dyDescent="0.25">
      <c r="A190" s="10"/>
      <c r="B190" s="246"/>
      <c r="C190" s="246"/>
      <c r="D190" s="710" t="s">
        <v>252</v>
      </c>
      <c r="E190" s="717">
        <v>417</v>
      </c>
      <c r="F190" s="718">
        <v>407</v>
      </c>
      <c r="G190" s="719">
        <v>457</v>
      </c>
      <c r="H190" s="43" t="s">
        <v>719</v>
      </c>
      <c r="I190" s="43" t="s">
        <v>720</v>
      </c>
    </row>
    <row r="191" spans="1:9" x14ac:dyDescent="0.25">
      <c r="A191" s="10"/>
      <c r="B191" s="246"/>
      <c r="C191" s="246"/>
      <c r="D191" s="710" t="s">
        <v>253</v>
      </c>
      <c r="E191" s="717"/>
      <c r="F191" s="718"/>
      <c r="G191" s="719"/>
      <c r="H191" s="43" t="s">
        <v>719</v>
      </c>
      <c r="I191" s="43" t="s">
        <v>720</v>
      </c>
    </row>
    <row r="192" spans="1:9" x14ac:dyDescent="0.25">
      <c r="A192" s="10"/>
      <c r="B192" s="246"/>
      <c r="C192" s="246"/>
      <c r="D192" s="710" t="s">
        <v>254</v>
      </c>
      <c r="E192" s="717"/>
      <c r="F192" s="718"/>
      <c r="G192" s="719"/>
      <c r="H192" s="43" t="s">
        <v>719</v>
      </c>
      <c r="I192" s="43" t="s">
        <v>720</v>
      </c>
    </row>
    <row r="193" spans="1:9" x14ac:dyDescent="0.25">
      <c r="A193" s="10"/>
      <c r="B193" s="246"/>
      <c r="C193" s="246"/>
      <c r="D193" s="710" t="s">
        <v>255</v>
      </c>
      <c r="E193" s="717"/>
      <c r="F193" s="718"/>
      <c r="G193" s="719"/>
      <c r="H193" s="43" t="s">
        <v>719</v>
      </c>
      <c r="I193" s="43" t="s">
        <v>720</v>
      </c>
    </row>
    <row r="194" spans="1:9" x14ac:dyDescent="0.25">
      <c r="A194" s="10"/>
      <c r="B194" s="246"/>
      <c r="C194" s="246"/>
      <c r="D194" s="710" t="s">
        <v>256</v>
      </c>
      <c r="E194" s="717"/>
      <c r="F194" s="718"/>
      <c r="G194" s="719"/>
      <c r="H194" s="43" t="s">
        <v>719</v>
      </c>
      <c r="I194" s="43" t="s">
        <v>720</v>
      </c>
    </row>
    <row r="195" spans="1:9" x14ac:dyDescent="0.25">
      <c r="A195" s="10"/>
      <c r="B195" s="246"/>
      <c r="C195" s="246"/>
      <c r="D195" s="710" t="s">
        <v>257</v>
      </c>
      <c r="E195" s="720">
        <f>294+215+480</f>
        <v>989</v>
      </c>
      <c r="F195" s="721">
        <f>280+193+406</f>
        <v>879</v>
      </c>
      <c r="G195" s="713">
        <f>342+248+583</f>
        <v>1173</v>
      </c>
      <c r="H195" s="43" t="s">
        <v>719</v>
      </c>
      <c r="I195" s="43" t="s">
        <v>720</v>
      </c>
    </row>
    <row r="196" spans="1:9" ht="15.75" thickBot="1" x14ac:dyDescent="0.3">
      <c r="A196" s="10"/>
      <c r="B196" s="246"/>
      <c r="C196" s="246"/>
      <c r="D196" s="722"/>
      <c r="E196" s="217">
        <f>SUM(E185:E195)</f>
        <v>1994</v>
      </c>
      <c r="F196" s="218">
        <f>SUM(F185:F195)</f>
        <v>1876</v>
      </c>
      <c r="G196" s="219">
        <f>SUM(G185:G195)</f>
        <v>2240</v>
      </c>
      <c r="H196" s="43" t="s">
        <v>719</v>
      </c>
      <c r="I196" s="43" t="s">
        <v>720</v>
      </c>
    </row>
    <row r="197" spans="1:9" ht="15.75" thickTop="1" x14ac:dyDescent="0.25">
      <c r="A197" s="10"/>
      <c r="B197" s="246"/>
      <c r="C197" s="246"/>
      <c r="D197" s="722"/>
      <c r="E197" s="636" t="b">
        <f>SUM(E185:E195)=E179</f>
        <v>1</v>
      </c>
      <c r="F197" s="637" t="b">
        <f>SUM(F185:F195)=F179</f>
        <v>1</v>
      </c>
      <c r="G197" s="705" t="b">
        <f>SUM(G185:G195)=G179</f>
        <v>1</v>
      </c>
      <c r="H197" s="120"/>
      <c r="I197" s="120"/>
    </row>
    <row r="198" spans="1:9" x14ac:dyDescent="0.25">
      <c r="A198" s="10"/>
      <c r="B198" s="246"/>
      <c r="C198" s="246"/>
      <c r="D198" s="722"/>
      <c r="E198" s="261"/>
      <c r="F198" s="723"/>
      <c r="G198" s="724"/>
      <c r="H198" s="120"/>
      <c r="I198" s="120"/>
    </row>
    <row r="199" spans="1:9" x14ac:dyDescent="0.25">
      <c r="A199" s="10"/>
      <c r="B199" s="11"/>
      <c r="C199" s="104" t="s">
        <v>260</v>
      </c>
      <c r="D199" s="610"/>
      <c r="E199" s="105"/>
      <c r="F199" s="611"/>
      <c r="G199" s="612"/>
      <c r="H199" s="612"/>
      <c r="I199" s="109"/>
    </row>
    <row r="200" spans="1:9" x14ac:dyDescent="0.25">
      <c r="A200" s="39"/>
      <c r="B200" s="32"/>
      <c r="C200" s="32"/>
      <c r="D200" s="701" t="s">
        <v>189</v>
      </c>
      <c r="E200" s="210">
        <v>888</v>
      </c>
      <c r="F200" s="212">
        <v>870</v>
      </c>
      <c r="G200" s="213">
        <v>1351</v>
      </c>
      <c r="H200" s="43" t="s">
        <v>721</v>
      </c>
      <c r="I200" s="43" t="s">
        <v>716</v>
      </c>
    </row>
    <row r="201" spans="1:9" x14ac:dyDescent="0.25">
      <c r="A201" s="10"/>
      <c r="B201" s="11"/>
      <c r="C201" s="11"/>
      <c r="D201" s="690" t="s">
        <v>192</v>
      </c>
      <c r="E201" s="691">
        <v>88</v>
      </c>
      <c r="F201" s="702">
        <v>30</v>
      </c>
      <c r="G201" s="216">
        <v>19</v>
      </c>
      <c r="H201" s="43" t="s">
        <v>721</v>
      </c>
      <c r="I201" s="43" t="s">
        <v>716</v>
      </c>
    </row>
    <row r="202" spans="1:9" x14ac:dyDescent="0.25">
      <c r="A202" s="10"/>
      <c r="B202" s="11"/>
      <c r="C202" s="11"/>
      <c r="D202" s="690" t="s">
        <v>194</v>
      </c>
      <c r="E202" s="214">
        <v>0</v>
      </c>
      <c r="F202" s="215">
        <v>0</v>
      </c>
      <c r="G202" s="216">
        <v>0</v>
      </c>
      <c r="H202" s="43" t="s">
        <v>721</v>
      </c>
      <c r="I202" s="43" t="s">
        <v>716</v>
      </c>
    </row>
    <row r="203" spans="1:9" x14ac:dyDescent="0.25">
      <c r="A203" s="10"/>
      <c r="B203" s="11"/>
      <c r="C203" s="11"/>
      <c r="D203" s="690" t="s">
        <v>195</v>
      </c>
      <c r="E203" s="214">
        <v>0</v>
      </c>
      <c r="F203" s="215">
        <v>0</v>
      </c>
      <c r="G203" s="216">
        <v>0</v>
      </c>
      <c r="H203" s="43" t="s">
        <v>721</v>
      </c>
      <c r="I203" s="43" t="s">
        <v>716</v>
      </c>
    </row>
    <row r="204" spans="1:9" x14ac:dyDescent="0.25">
      <c r="A204" s="10"/>
      <c r="B204" s="11"/>
      <c r="C204" s="11"/>
      <c r="D204" s="690" t="s">
        <v>261</v>
      </c>
      <c r="E204" s="691">
        <v>-16</v>
      </c>
      <c r="F204" s="702">
        <v>13</v>
      </c>
      <c r="G204" s="216">
        <v>-440</v>
      </c>
      <c r="H204" s="43" t="s">
        <v>721</v>
      </c>
      <c r="I204" s="43" t="s">
        <v>716</v>
      </c>
    </row>
    <row r="205" spans="1:9" x14ac:dyDescent="0.25">
      <c r="A205" s="10"/>
      <c r="B205" s="11"/>
      <c r="C205" s="11"/>
      <c r="D205" s="690" t="s">
        <v>262</v>
      </c>
      <c r="E205" s="691">
        <v>3</v>
      </c>
      <c r="F205" s="702">
        <v>-3</v>
      </c>
      <c r="G205" s="216">
        <v>0</v>
      </c>
      <c r="H205" s="43" t="s">
        <v>721</v>
      </c>
      <c r="I205" s="43" t="s">
        <v>716</v>
      </c>
    </row>
    <row r="206" spans="1:9" x14ac:dyDescent="0.25">
      <c r="A206" s="10"/>
      <c r="B206" s="11"/>
      <c r="C206" s="11"/>
      <c r="D206" s="690" t="s">
        <v>264</v>
      </c>
      <c r="E206" s="214">
        <v>0</v>
      </c>
      <c r="F206" s="215">
        <v>0</v>
      </c>
      <c r="G206" s="216">
        <v>0</v>
      </c>
      <c r="H206" s="43" t="s">
        <v>721</v>
      </c>
      <c r="I206" s="43" t="s">
        <v>716</v>
      </c>
    </row>
    <row r="207" spans="1:9" x14ac:dyDescent="0.25">
      <c r="A207" s="10"/>
      <c r="B207" s="11"/>
      <c r="C207" s="11"/>
      <c r="D207" s="690" t="s">
        <v>265</v>
      </c>
      <c r="E207" s="691">
        <v>-22</v>
      </c>
      <c r="F207" s="702">
        <v>-22</v>
      </c>
      <c r="G207" s="216">
        <v>-60</v>
      </c>
      <c r="H207" s="43" t="s">
        <v>721</v>
      </c>
      <c r="I207" s="43" t="s">
        <v>716</v>
      </c>
    </row>
    <row r="208" spans="1:9" x14ac:dyDescent="0.25">
      <c r="A208" s="10"/>
      <c r="B208" s="11"/>
      <c r="C208" s="11"/>
      <c r="D208" s="690" t="s">
        <v>266</v>
      </c>
      <c r="E208" s="214">
        <v>0</v>
      </c>
      <c r="F208" s="215">
        <v>0</v>
      </c>
      <c r="G208" s="216">
        <v>0</v>
      </c>
      <c r="H208" s="43" t="s">
        <v>721</v>
      </c>
      <c r="I208" s="43" t="s">
        <v>716</v>
      </c>
    </row>
    <row r="209" spans="1:9" x14ac:dyDescent="0.25">
      <c r="A209" s="10"/>
      <c r="B209" s="11"/>
      <c r="C209" s="11"/>
      <c r="D209" s="690" t="s">
        <v>144</v>
      </c>
      <c r="E209" s="214">
        <v>0</v>
      </c>
      <c r="F209" s="215">
        <v>0</v>
      </c>
      <c r="G209" s="216">
        <v>0</v>
      </c>
      <c r="H209" s="43" t="s">
        <v>721</v>
      </c>
      <c r="I209" s="43" t="s">
        <v>716</v>
      </c>
    </row>
    <row r="210" spans="1:9" ht="15.75" thickBot="1" x14ac:dyDescent="0.3">
      <c r="A210" s="39"/>
      <c r="B210" s="32"/>
      <c r="C210" s="32"/>
      <c r="D210" s="701" t="s">
        <v>267</v>
      </c>
      <c r="E210" s="217">
        <v>942</v>
      </c>
      <c r="F210" s="218">
        <v>888</v>
      </c>
      <c r="G210" s="219">
        <v>870</v>
      </c>
      <c r="H210" s="43" t="s">
        <v>721</v>
      </c>
      <c r="I210" s="43" t="s">
        <v>716</v>
      </c>
    </row>
    <row r="211" spans="1:9" ht="15.75" thickTop="1" x14ac:dyDescent="0.25">
      <c r="A211" s="39"/>
      <c r="B211" s="32"/>
      <c r="C211" s="32"/>
      <c r="D211" s="701"/>
      <c r="E211" s="636" t="b">
        <f>SUM(E200:E209)=E210</f>
        <v>0</v>
      </c>
      <c r="F211" s="637" t="b">
        <f>SUM(F200:F209)=F210</f>
        <v>1</v>
      </c>
      <c r="G211" s="705" t="b">
        <f>SUM(G200:G209)=G210</f>
        <v>1</v>
      </c>
      <c r="H211" s="74" t="s">
        <v>718</v>
      </c>
      <c r="I211" s="120"/>
    </row>
    <row r="212" spans="1:9" x14ac:dyDescent="0.25">
      <c r="A212" s="39"/>
      <c r="B212" s="32"/>
      <c r="C212" s="32"/>
      <c r="D212" s="701"/>
      <c r="E212" s="636" t="b">
        <f>+E207=-E62</f>
        <v>1</v>
      </c>
      <c r="F212" s="637" t="b">
        <f>+F207=-F62</f>
        <v>1</v>
      </c>
      <c r="G212" s="705" t="b">
        <f>+G207=-G62</f>
        <v>1</v>
      </c>
      <c r="H212" s="120"/>
      <c r="I212" s="120"/>
    </row>
    <row r="213" spans="1:9" x14ac:dyDescent="0.25">
      <c r="A213" s="39"/>
      <c r="B213" s="32"/>
      <c r="C213" s="32"/>
      <c r="D213" s="701"/>
      <c r="E213" s="636" t="b">
        <f>E210=E28</f>
        <v>1</v>
      </c>
      <c r="F213" s="637" t="b">
        <f>F210=F28</f>
        <v>1</v>
      </c>
      <c r="G213" s="705" t="b">
        <f>G210=G28</f>
        <v>1</v>
      </c>
      <c r="H213" s="120"/>
      <c r="I213" s="120"/>
    </row>
    <row r="214" spans="1:9" x14ac:dyDescent="0.25">
      <c r="A214" s="10"/>
      <c r="B214" s="246"/>
      <c r="C214" s="246"/>
      <c r="D214" s="722"/>
      <c r="E214" s="261"/>
      <c r="F214" s="723"/>
      <c r="G214" s="724"/>
      <c r="H214" s="120"/>
      <c r="I214" s="120"/>
    </row>
    <row r="215" spans="1:9" x14ac:dyDescent="0.25">
      <c r="A215" s="10"/>
      <c r="B215" s="246"/>
      <c r="C215" s="246"/>
      <c r="D215" s="701" t="s">
        <v>268</v>
      </c>
      <c r="E215" s="725" t="s">
        <v>722</v>
      </c>
      <c r="F215" s="725" t="s">
        <v>722</v>
      </c>
      <c r="G215" s="724"/>
      <c r="H215" s="43"/>
      <c r="I215" s="43" t="s">
        <v>723</v>
      </c>
    </row>
    <row r="216" spans="1:9" x14ac:dyDescent="0.25">
      <c r="A216" s="10"/>
      <c r="B216" s="246"/>
      <c r="C216" s="246"/>
      <c r="D216" s="701" t="s">
        <v>270</v>
      </c>
      <c r="E216" s="726">
        <v>0.04</v>
      </c>
      <c r="F216" s="727">
        <v>0.04</v>
      </c>
      <c r="G216" s="724"/>
      <c r="H216" s="43" t="s">
        <v>724</v>
      </c>
      <c r="I216" s="43"/>
    </row>
    <row r="217" spans="1:9" x14ac:dyDescent="0.25">
      <c r="A217" s="10"/>
      <c r="B217" s="246"/>
      <c r="C217" s="246"/>
      <c r="D217" s="701" t="s">
        <v>272</v>
      </c>
      <c r="E217" s="210"/>
      <c r="F217" s="723"/>
      <c r="G217" s="724"/>
      <c r="H217" s="120"/>
      <c r="I217" s="120"/>
    </row>
    <row r="218" spans="1:9" x14ac:dyDescent="0.25">
      <c r="A218" s="10"/>
      <c r="B218" s="246"/>
      <c r="C218" s="246"/>
      <c r="D218" s="728" t="s">
        <v>273</v>
      </c>
      <c r="E218" s="729">
        <v>0.70199999999999996</v>
      </c>
      <c r="F218" s="730">
        <v>0.70199999999999996</v>
      </c>
      <c r="G218" s="731">
        <v>0.70499999999999996</v>
      </c>
      <c r="H218" s="43" t="s">
        <v>725</v>
      </c>
      <c r="I218" s="43" t="s">
        <v>726</v>
      </c>
    </row>
    <row r="219" spans="1:9" x14ac:dyDescent="0.25">
      <c r="A219" s="10"/>
      <c r="B219" s="246"/>
      <c r="C219" s="246"/>
      <c r="D219" s="732" t="s">
        <v>276</v>
      </c>
      <c r="E219" s="733" t="s">
        <v>166</v>
      </c>
      <c r="F219" s="723" t="s">
        <v>166</v>
      </c>
      <c r="G219" s="724" t="s">
        <v>166</v>
      </c>
      <c r="H219" s="120"/>
      <c r="I219" s="120"/>
    </row>
    <row r="220" spans="1:9" x14ac:dyDescent="0.25">
      <c r="A220" s="10"/>
      <c r="B220" s="246"/>
      <c r="C220" s="246"/>
      <c r="D220" s="732" t="s">
        <v>277</v>
      </c>
      <c r="E220" s="734">
        <v>0</v>
      </c>
      <c r="F220" s="735">
        <v>0</v>
      </c>
      <c r="G220" s="736">
        <v>0</v>
      </c>
      <c r="H220" s="120"/>
      <c r="I220" s="120"/>
    </row>
    <row r="221" spans="1:9" x14ac:dyDescent="0.25">
      <c r="A221" s="10"/>
      <c r="B221" s="246"/>
      <c r="C221" s="246"/>
      <c r="D221" s="722"/>
      <c r="E221" s="261"/>
      <c r="F221" s="723"/>
      <c r="G221" s="724"/>
      <c r="H221" s="120"/>
      <c r="I221" s="120"/>
    </row>
    <row r="222" spans="1:9" x14ac:dyDescent="0.25">
      <c r="A222" s="10"/>
      <c r="B222" s="11"/>
      <c r="C222" s="104" t="s">
        <v>292</v>
      </c>
      <c r="D222" s="610"/>
      <c r="E222" s="105"/>
      <c r="F222" s="611"/>
      <c r="G222" s="612"/>
      <c r="H222" s="612"/>
      <c r="I222" s="109"/>
    </row>
    <row r="223" spans="1:9" x14ac:dyDescent="0.25">
      <c r="A223" s="10"/>
      <c r="B223" s="11"/>
      <c r="C223" s="11"/>
      <c r="D223" s="690" t="s">
        <v>189</v>
      </c>
      <c r="E223" s="190">
        <v>63</v>
      </c>
      <c r="F223" s="693">
        <v>37</v>
      </c>
      <c r="G223" s="666">
        <v>0</v>
      </c>
      <c r="H223" s="666" t="s">
        <v>687</v>
      </c>
      <c r="I223" s="43" t="s">
        <v>727</v>
      </c>
    </row>
    <row r="224" spans="1:9" x14ac:dyDescent="0.25">
      <c r="A224" s="10"/>
      <c r="B224" s="11"/>
      <c r="C224" s="11"/>
      <c r="D224" s="690" t="s">
        <v>294</v>
      </c>
      <c r="E224" s="692">
        <f>+SUM(E225:E227)</f>
        <v>34</v>
      </c>
      <c r="F224" s="693">
        <f>+SUM(F225:F227)</f>
        <v>26</v>
      </c>
      <c r="G224" s="666">
        <f>+SUM(G225:G227)</f>
        <v>36</v>
      </c>
      <c r="H224" s="666"/>
      <c r="I224" s="43" t="s">
        <v>727</v>
      </c>
    </row>
    <row r="225" spans="1:9" x14ac:dyDescent="0.25">
      <c r="A225" s="10"/>
      <c r="B225" s="11"/>
      <c r="C225" s="11"/>
      <c r="D225" s="622" t="s">
        <v>295</v>
      </c>
      <c r="E225" s="737">
        <f>-E64</f>
        <v>4</v>
      </c>
      <c r="F225" s="738">
        <f>-F64</f>
        <v>7</v>
      </c>
      <c r="G225" s="739">
        <f>-G64</f>
        <v>12</v>
      </c>
      <c r="H225" s="739"/>
      <c r="I225" s="740"/>
    </row>
    <row r="226" spans="1:9" x14ac:dyDescent="0.25">
      <c r="A226" s="10"/>
      <c r="B226" s="11"/>
      <c r="C226" s="11"/>
      <c r="D226" s="622" t="s">
        <v>296</v>
      </c>
      <c r="E226" s="630">
        <f>-SUM(E66:E68)</f>
        <v>-7</v>
      </c>
      <c r="F226" s="627">
        <f>-SUM(F66:F68)</f>
        <v>-6</v>
      </c>
      <c r="G226" s="625">
        <f>-SUM(G66:G68)</f>
        <v>-4</v>
      </c>
      <c r="H226" s="625"/>
      <c r="I226" s="625"/>
    </row>
    <row r="227" spans="1:9" x14ac:dyDescent="0.25">
      <c r="A227" s="10"/>
      <c r="B227" s="11"/>
      <c r="C227" s="11"/>
      <c r="D227" s="622" t="s">
        <v>297</v>
      </c>
      <c r="E227" s="630">
        <f>-E65</f>
        <v>37</v>
      </c>
      <c r="F227" s="627">
        <f>-F65</f>
        <v>25</v>
      </c>
      <c r="G227" s="625">
        <f>-G65</f>
        <v>28</v>
      </c>
      <c r="H227" s="625"/>
      <c r="I227" s="625"/>
    </row>
    <row r="228" spans="1:9" x14ac:dyDescent="0.25">
      <c r="A228" s="10"/>
      <c r="B228" s="11"/>
      <c r="C228" s="11"/>
      <c r="D228" s="690" t="s">
        <v>195</v>
      </c>
      <c r="E228" s="692">
        <v>1</v>
      </c>
      <c r="F228" s="693">
        <v>0</v>
      </c>
      <c r="G228" s="666">
        <v>0</v>
      </c>
      <c r="H228" s="43" t="s">
        <v>728</v>
      </c>
      <c r="I228" s="43" t="s">
        <v>727</v>
      </c>
    </row>
    <row r="229" spans="1:9" x14ac:dyDescent="0.25">
      <c r="A229" s="10"/>
      <c r="B229" s="11"/>
      <c r="C229" s="11"/>
      <c r="D229" s="690" t="s">
        <v>129</v>
      </c>
      <c r="E229" s="741">
        <v>0</v>
      </c>
      <c r="F229" s="742">
        <v>0</v>
      </c>
      <c r="G229" s="743">
        <v>0</v>
      </c>
      <c r="H229" s="43" t="s">
        <v>728</v>
      </c>
      <c r="I229" s="43" t="s">
        <v>727</v>
      </c>
    </row>
    <row r="230" spans="1:9" ht="15.75" thickBot="1" x14ac:dyDescent="0.3">
      <c r="A230" s="10"/>
      <c r="B230" s="11"/>
      <c r="C230" s="11"/>
      <c r="D230" s="690" t="s">
        <v>298</v>
      </c>
      <c r="E230" s="744">
        <v>98</v>
      </c>
      <c r="F230" s="218">
        <v>63</v>
      </c>
      <c r="G230" s="219">
        <v>37</v>
      </c>
      <c r="H230" s="43" t="s">
        <v>728</v>
      </c>
      <c r="I230" s="43" t="s">
        <v>727</v>
      </c>
    </row>
    <row r="231" spans="1:9" ht="15.75" thickTop="1" x14ac:dyDescent="0.25">
      <c r="A231" s="10"/>
      <c r="B231" s="11"/>
      <c r="C231" s="11"/>
      <c r="D231" s="690"/>
      <c r="E231" s="636" t="b">
        <f>SUM(E223:E224,E228:E229)=E230</f>
        <v>1</v>
      </c>
      <c r="F231" s="637" t="b">
        <f>SUM(F223:F224,F228:F229)=F230</f>
        <v>1</v>
      </c>
      <c r="G231" s="705" t="b">
        <f>SUM(G223:G224,G228:G229)=G230</f>
        <v>0</v>
      </c>
      <c r="H231" s="120"/>
      <c r="I231" s="74" t="s">
        <v>33</v>
      </c>
    </row>
    <row r="232" spans="1:9" x14ac:dyDescent="0.25">
      <c r="A232" s="10"/>
      <c r="B232" s="11"/>
      <c r="C232" s="11"/>
      <c r="D232" s="690"/>
      <c r="E232" s="636" t="b">
        <f>(E224-E69)=-E63</f>
        <v>1</v>
      </c>
      <c r="F232" s="637" t="b">
        <f>(F224-F69)=-F63</f>
        <v>1</v>
      </c>
      <c r="G232" s="705" t="b">
        <f>(G224-G69)=-G63</f>
        <v>1</v>
      </c>
      <c r="H232" s="120"/>
      <c r="I232" s="120"/>
    </row>
    <row r="233" spans="1:9" ht="14.65" customHeight="1" x14ac:dyDescent="0.25">
      <c r="A233" s="10"/>
      <c r="B233" s="11"/>
      <c r="C233" s="11"/>
      <c r="D233" s="558"/>
      <c r="E233" s="33"/>
      <c r="F233" s="101"/>
      <c r="G233" s="102"/>
      <c r="H233" s="120"/>
      <c r="I233" s="120"/>
    </row>
    <row r="234" spans="1:9" ht="14.65" customHeight="1" x14ac:dyDescent="0.25">
      <c r="A234" s="10"/>
      <c r="B234" s="11"/>
      <c r="C234" s="104" t="s">
        <v>313</v>
      </c>
      <c r="D234" s="610"/>
      <c r="E234" s="105"/>
      <c r="F234" s="611"/>
      <c r="G234" s="612"/>
      <c r="H234" s="612"/>
      <c r="I234" s="109"/>
    </row>
    <row r="235" spans="1:9" ht="14.65" customHeight="1" x14ac:dyDescent="0.25">
      <c r="A235" s="10"/>
      <c r="B235" s="11"/>
      <c r="C235" s="11"/>
      <c r="D235" s="690" t="s">
        <v>189</v>
      </c>
      <c r="E235" s="692">
        <v>0</v>
      </c>
      <c r="F235" s="693">
        <v>0</v>
      </c>
      <c r="G235" s="666">
        <v>0</v>
      </c>
      <c r="H235" s="120"/>
      <c r="I235" s="120"/>
    </row>
    <row r="236" spans="1:9" ht="14.65" customHeight="1" x14ac:dyDescent="0.25">
      <c r="A236" s="10"/>
      <c r="B236" s="11"/>
      <c r="C236" s="11"/>
      <c r="D236" s="690" t="s">
        <v>294</v>
      </c>
      <c r="E236" s="692">
        <v>0</v>
      </c>
      <c r="F236" s="693">
        <v>0</v>
      </c>
      <c r="G236" s="666">
        <v>0</v>
      </c>
      <c r="H236" s="120"/>
      <c r="I236" s="120"/>
    </row>
    <row r="237" spans="1:9" ht="14.65" customHeight="1" x14ac:dyDescent="0.25">
      <c r="A237" s="10"/>
      <c r="B237" s="11"/>
      <c r="C237" s="11"/>
      <c r="D237" s="622" t="s">
        <v>295</v>
      </c>
      <c r="E237" s="737">
        <v>0</v>
      </c>
      <c r="F237" s="738">
        <v>0</v>
      </c>
      <c r="G237" s="739">
        <v>0</v>
      </c>
      <c r="H237" s="120"/>
      <c r="I237" s="120"/>
    </row>
    <row r="238" spans="1:9" ht="14.65" customHeight="1" x14ac:dyDescent="0.25">
      <c r="A238" s="10"/>
      <c r="B238" s="11"/>
      <c r="C238" s="11"/>
      <c r="D238" s="622" t="s">
        <v>296</v>
      </c>
      <c r="E238" s="630">
        <v>0</v>
      </c>
      <c r="F238" s="627">
        <v>0</v>
      </c>
      <c r="G238" s="625">
        <v>0</v>
      </c>
      <c r="H238" s="120"/>
      <c r="I238" s="120"/>
    </row>
    <row r="239" spans="1:9" ht="14.65" customHeight="1" x14ac:dyDescent="0.25">
      <c r="A239" s="10"/>
      <c r="B239" s="11"/>
      <c r="C239" s="11"/>
      <c r="D239" s="622" t="s">
        <v>297</v>
      </c>
      <c r="E239" s="630">
        <v>0</v>
      </c>
      <c r="F239" s="627">
        <v>0</v>
      </c>
      <c r="G239" s="625">
        <v>0</v>
      </c>
      <c r="H239" s="120"/>
      <c r="I239" s="120"/>
    </row>
    <row r="240" spans="1:9" ht="14.65" customHeight="1" x14ac:dyDescent="0.25">
      <c r="A240" s="10"/>
      <c r="B240" s="11"/>
      <c r="C240" s="11"/>
      <c r="D240" s="690" t="s">
        <v>195</v>
      </c>
      <c r="E240" s="692">
        <v>0</v>
      </c>
      <c r="F240" s="693">
        <v>0</v>
      </c>
      <c r="G240" s="666">
        <v>0</v>
      </c>
      <c r="H240" s="120"/>
      <c r="I240" s="120"/>
    </row>
    <row r="241" spans="1:9" ht="14.65" customHeight="1" x14ac:dyDescent="0.25">
      <c r="A241" s="10"/>
      <c r="B241" s="11"/>
      <c r="C241" s="11"/>
      <c r="D241" s="690" t="s">
        <v>129</v>
      </c>
      <c r="E241" s="692">
        <v>0</v>
      </c>
      <c r="F241" s="693">
        <v>0</v>
      </c>
      <c r="G241" s="666">
        <v>0</v>
      </c>
      <c r="H241" s="120"/>
      <c r="I241" s="120"/>
    </row>
    <row r="242" spans="1:9" ht="14.65" customHeight="1" thickBot="1" x14ac:dyDescent="0.3">
      <c r="A242" s="10"/>
      <c r="B242" s="11"/>
      <c r="C242" s="11"/>
      <c r="D242" s="690" t="s">
        <v>298</v>
      </c>
      <c r="E242" s="217">
        <v>0</v>
      </c>
      <c r="F242" s="218">
        <v>0</v>
      </c>
      <c r="G242" s="219">
        <v>0</v>
      </c>
      <c r="H242" s="120"/>
      <c r="I242" s="120"/>
    </row>
    <row r="243" spans="1:9" ht="15.75" thickTop="1" x14ac:dyDescent="0.25">
      <c r="A243" s="10"/>
      <c r="B243" s="11"/>
      <c r="C243" s="11"/>
      <c r="D243" s="558"/>
      <c r="E243" s="636" t="b">
        <f>+E242=SUM(E240:E241,E235:E236)</f>
        <v>1</v>
      </c>
      <c r="F243" s="637" t="b">
        <f>+F242=SUM(F240:F241,F235:F236)</f>
        <v>1</v>
      </c>
      <c r="G243" s="705" t="b">
        <f>+G242=SUM(G240:G241,G235:G236)</f>
        <v>1</v>
      </c>
      <c r="H243" s="120"/>
      <c r="I243" s="120"/>
    </row>
    <row r="244" spans="1:9" x14ac:dyDescent="0.25">
      <c r="A244" s="10"/>
      <c r="B244" s="11"/>
      <c r="C244" s="11"/>
      <c r="D244" s="558"/>
      <c r="E244" s="636" t="b">
        <f>SUM(E237:E239)=E236</f>
        <v>1</v>
      </c>
      <c r="F244" s="637" t="b">
        <f>SUM(F237:F239)=F236</f>
        <v>1</v>
      </c>
      <c r="G244" s="705" t="b">
        <f>SUM(G237:G239)=G236</f>
        <v>1</v>
      </c>
      <c r="H244" s="120"/>
      <c r="I244" s="120"/>
    </row>
    <row r="245" spans="1:9" x14ac:dyDescent="0.25">
      <c r="A245" s="10"/>
      <c r="B245" s="11"/>
      <c r="C245" s="11"/>
      <c r="D245" s="558"/>
      <c r="E245" s="33"/>
      <c r="F245" s="101"/>
      <c r="G245" s="102"/>
      <c r="H245" s="120"/>
      <c r="I245" s="120"/>
    </row>
    <row r="246" spans="1:9" x14ac:dyDescent="0.25">
      <c r="A246" s="10"/>
      <c r="B246" s="11"/>
      <c r="C246" s="104" t="s">
        <v>319</v>
      </c>
      <c r="D246" s="610"/>
      <c r="E246" s="105"/>
      <c r="F246" s="611"/>
      <c r="G246" s="612"/>
      <c r="H246" s="612"/>
      <c r="I246" s="109"/>
    </row>
    <row r="247" spans="1:9" x14ac:dyDescent="0.25">
      <c r="A247" s="10"/>
      <c r="B247" s="11"/>
      <c r="C247" s="11"/>
      <c r="D247" s="690" t="s">
        <v>320</v>
      </c>
      <c r="E247" s="745">
        <f>-E75</f>
        <v>194</v>
      </c>
      <c r="F247" s="650">
        <f>-F75</f>
        <v>174</v>
      </c>
      <c r="G247" s="666">
        <f>-G75</f>
        <v>177</v>
      </c>
      <c r="H247" s="461" t="s">
        <v>729</v>
      </c>
      <c r="I247" s="461" t="s">
        <v>729</v>
      </c>
    </row>
    <row r="248" spans="1:9" x14ac:dyDescent="0.25">
      <c r="A248" s="10"/>
      <c r="B248" s="11"/>
      <c r="C248" s="11"/>
      <c r="D248" s="690" t="s">
        <v>322</v>
      </c>
      <c r="E248" s="692">
        <f>-E79</f>
        <v>0</v>
      </c>
      <c r="F248" s="693">
        <f>-F79</f>
        <v>0</v>
      </c>
      <c r="G248" s="666">
        <f>-G79</f>
        <v>0</v>
      </c>
      <c r="H248" s="461" t="s">
        <v>21</v>
      </c>
      <c r="I248" s="461" t="s">
        <v>21</v>
      </c>
    </row>
    <row r="249" spans="1:9" x14ac:dyDescent="0.25">
      <c r="A249" s="10"/>
      <c r="B249" s="11"/>
      <c r="C249" s="11"/>
      <c r="D249" s="690" t="s">
        <v>324</v>
      </c>
      <c r="E249" s="745">
        <f>-E159</f>
        <v>56</v>
      </c>
      <c r="F249" s="650">
        <f>-F159</f>
        <v>159</v>
      </c>
      <c r="G249" s="666">
        <f>-G159</f>
        <v>41</v>
      </c>
      <c r="H249" s="461" t="s">
        <v>729</v>
      </c>
      <c r="I249" s="461" t="s">
        <v>729</v>
      </c>
    </row>
    <row r="250" spans="1:9" ht="15.75" thickBot="1" x14ac:dyDescent="0.3">
      <c r="A250" s="10"/>
      <c r="B250" s="11"/>
      <c r="C250" s="11"/>
      <c r="D250" s="690"/>
      <c r="E250" s="217">
        <f>SUM(E247:E249)</f>
        <v>250</v>
      </c>
      <c r="F250" s="218">
        <f>SUM(F247:F249)</f>
        <v>333</v>
      </c>
      <c r="G250" s="219">
        <f>SUM(G247:G249)</f>
        <v>218</v>
      </c>
      <c r="H250" s="120"/>
      <c r="I250" s="120"/>
    </row>
    <row r="251" spans="1:9" ht="15.75" thickTop="1" x14ac:dyDescent="0.25">
      <c r="A251" s="10"/>
      <c r="B251" s="11"/>
      <c r="C251" s="11"/>
      <c r="D251" s="690"/>
      <c r="E251" s="636"/>
      <c r="F251" s="637"/>
      <c r="G251" s="705"/>
      <c r="H251" s="120"/>
      <c r="I251" s="120"/>
    </row>
    <row r="252" spans="1:9" x14ac:dyDescent="0.25">
      <c r="A252" s="10"/>
      <c r="B252" s="11"/>
      <c r="C252" s="11"/>
      <c r="D252" s="690" t="s">
        <v>325</v>
      </c>
      <c r="E252" s="745">
        <f>-E74</f>
        <v>1535</v>
      </c>
      <c r="F252" s="650">
        <f>-F74</f>
        <v>1430</v>
      </c>
      <c r="G252" s="666">
        <f>-G74</f>
        <v>1458</v>
      </c>
      <c r="H252" s="461" t="s">
        <v>729</v>
      </c>
      <c r="I252" s="461" t="s">
        <v>729</v>
      </c>
    </row>
    <row r="253" spans="1:9" x14ac:dyDescent="0.25">
      <c r="A253" s="10"/>
      <c r="B253" s="11"/>
      <c r="C253" s="11"/>
      <c r="D253" s="690" t="s">
        <v>326</v>
      </c>
      <c r="E253" s="692">
        <f>-E78</f>
        <v>0</v>
      </c>
      <c r="F253" s="693">
        <f>-F78</f>
        <v>0</v>
      </c>
      <c r="G253" s="666">
        <f>-G78</f>
        <v>0</v>
      </c>
      <c r="H253" s="461" t="s">
        <v>21</v>
      </c>
      <c r="I253" s="461" t="s">
        <v>21</v>
      </c>
    </row>
    <row r="254" spans="1:9" x14ac:dyDescent="0.25">
      <c r="A254" s="10"/>
      <c r="B254" s="11"/>
      <c r="C254" s="11"/>
      <c r="D254" s="690" t="s">
        <v>327</v>
      </c>
      <c r="E254" s="691">
        <v>1210</v>
      </c>
      <c r="F254" s="650">
        <v>1168</v>
      </c>
      <c r="G254" s="666">
        <v>1323</v>
      </c>
      <c r="H254" s="43" t="s">
        <v>730</v>
      </c>
      <c r="I254" s="43" t="s">
        <v>727</v>
      </c>
    </row>
    <row r="255" spans="1:9" ht="15.75" thickBot="1" x14ac:dyDescent="0.3">
      <c r="A255" s="10"/>
      <c r="B255" s="11"/>
      <c r="C255" s="11"/>
      <c r="D255" s="690"/>
      <c r="E255" s="217">
        <f>SUM(E252:E254)</f>
        <v>2745</v>
      </c>
      <c r="F255" s="218">
        <f>SUM(F252:F254)</f>
        <v>2598</v>
      </c>
      <c r="G255" s="219">
        <f>SUM(G252:G254)</f>
        <v>2781</v>
      </c>
      <c r="H255" s="120"/>
      <c r="I255" s="120"/>
    </row>
    <row r="256" spans="1:9" ht="15.75" thickTop="1" x14ac:dyDescent="0.25">
      <c r="A256" s="10"/>
      <c r="B256" s="11"/>
      <c r="C256" s="11"/>
      <c r="D256" s="690"/>
      <c r="E256" s="190"/>
      <c r="F256" s="212"/>
      <c r="G256" s="213"/>
      <c r="H256" s="120"/>
      <c r="I256" s="120"/>
    </row>
    <row r="257" spans="1:9" x14ac:dyDescent="0.25">
      <c r="A257" s="10"/>
      <c r="B257" s="11"/>
      <c r="C257" s="104" t="s">
        <v>334</v>
      </c>
      <c r="D257" s="610"/>
      <c r="E257" s="105"/>
      <c r="F257" s="611"/>
      <c r="G257" s="612"/>
      <c r="H257" s="612"/>
      <c r="I257" s="109"/>
    </row>
    <row r="258" spans="1:9" x14ac:dyDescent="0.25">
      <c r="A258" s="10"/>
      <c r="B258" s="11"/>
      <c r="C258" s="11"/>
      <c r="D258" s="690" t="s">
        <v>598</v>
      </c>
      <c r="E258" s="746">
        <v>2849</v>
      </c>
      <c r="F258" s="650">
        <v>2145</v>
      </c>
      <c r="G258" s="666">
        <v>1763</v>
      </c>
      <c r="H258" s="666" t="s">
        <v>731</v>
      </c>
      <c r="I258" s="43" t="s">
        <v>732</v>
      </c>
    </row>
    <row r="259" spans="1:9" x14ac:dyDescent="0.25">
      <c r="A259" s="10"/>
      <c r="B259" s="11"/>
      <c r="C259" s="11"/>
      <c r="D259" s="690" t="s">
        <v>342</v>
      </c>
      <c r="E259" s="692">
        <v>0</v>
      </c>
      <c r="F259" s="693">
        <v>0</v>
      </c>
      <c r="G259" s="666">
        <v>0</v>
      </c>
      <c r="H259" s="120"/>
      <c r="I259" s="120"/>
    </row>
    <row r="260" spans="1:9" x14ac:dyDescent="0.25">
      <c r="A260" s="10"/>
      <c r="B260" s="11"/>
      <c r="C260" s="11"/>
      <c r="D260" s="690" t="s">
        <v>606</v>
      </c>
      <c r="E260" s="747"/>
      <c r="F260" s="748"/>
      <c r="G260" s="749"/>
      <c r="H260" s="66" t="s">
        <v>733</v>
      </c>
      <c r="I260" s="66" t="s">
        <v>733</v>
      </c>
    </row>
    <row r="261" spans="1:9" x14ac:dyDescent="0.25">
      <c r="A261" s="10"/>
      <c r="B261" s="11"/>
      <c r="C261" s="11"/>
      <c r="D261" s="690" t="s">
        <v>607</v>
      </c>
      <c r="E261" s="692">
        <v>0</v>
      </c>
      <c r="F261" s="693">
        <v>0</v>
      </c>
      <c r="G261" s="666">
        <v>0</v>
      </c>
      <c r="H261" s="120"/>
      <c r="I261" s="120"/>
    </row>
    <row r="262" spans="1:9" ht="15.75" thickBot="1" x14ac:dyDescent="0.3">
      <c r="A262" s="10"/>
      <c r="B262" s="11"/>
      <c r="C262" s="11"/>
      <c r="D262" s="690"/>
      <c r="E262" s="217">
        <f>SUM(E258:E261)</f>
        <v>2849</v>
      </c>
      <c r="F262" s="218">
        <f>SUM(F258:F261)</f>
        <v>2145</v>
      </c>
      <c r="G262" s="219">
        <f>SUM(G258:G261)</f>
        <v>1763</v>
      </c>
      <c r="H262" s="120"/>
      <c r="I262" s="120"/>
    </row>
    <row r="263" spans="1:9" ht="15.75" thickTop="1" x14ac:dyDescent="0.25">
      <c r="A263" s="10"/>
      <c r="B263" s="11"/>
      <c r="C263" s="11"/>
      <c r="D263" s="690"/>
      <c r="E263" s="190"/>
      <c r="F263" s="212"/>
      <c r="G263" s="213"/>
      <c r="H263" s="120"/>
      <c r="I263" s="120"/>
    </row>
    <row r="264" spans="1:9" hidden="1" x14ac:dyDescent="0.25">
      <c r="A264" s="10"/>
      <c r="B264" s="25" t="s">
        <v>350</v>
      </c>
      <c r="C264" s="26"/>
      <c r="D264" s="556"/>
      <c r="E264" s="27"/>
      <c r="F264" s="366"/>
      <c r="G264" s="557"/>
      <c r="H264" s="557"/>
      <c r="I264" s="31"/>
    </row>
    <row r="265" spans="1:9" hidden="1" x14ac:dyDescent="0.25">
      <c r="A265" s="10"/>
      <c r="B265" s="354"/>
      <c r="C265" s="104" t="s">
        <v>351</v>
      </c>
      <c r="D265" s="610"/>
      <c r="E265" s="105"/>
      <c r="F265" s="611"/>
      <c r="G265" s="612"/>
      <c r="H265" s="612"/>
      <c r="I265" s="109"/>
    </row>
    <row r="266" spans="1:9" hidden="1" x14ac:dyDescent="0.25">
      <c r="A266" s="10"/>
      <c r="B266" s="354"/>
      <c r="C266" s="11"/>
      <c r="D266" s="690" t="s">
        <v>352</v>
      </c>
      <c r="E266" s="190"/>
      <c r="F266" s="637"/>
      <c r="G266" s="705"/>
      <c r="H266" s="705"/>
      <c r="I266" s="355"/>
    </row>
    <row r="267" spans="1:9" hidden="1" x14ac:dyDescent="0.25">
      <c r="A267" s="10"/>
      <c r="B267" s="354"/>
      <c r="C267" s="11"/>
      <c r="D267" s="690"/>
      <c r="E267" s="190"/>
      <c r="F267" s="637"/>
      <c r="G267" s="705"/>
      <c r="H267" s="705"/>
      <c r="I267" s="355"/>
    </row>
    <row r="268" spans="1:9" hidden="1" x14ac:dyDescent="0.25">
      <c r="A268" s="10"/>
      <c r="B268" s="354"/>
      <c r="C268" s="11"/>
      <c r="D268" s="690"/>
      <c r="E268" s="190"/>
      <c r="F268" s="637"/>
      <c r="G268" s="705"/>
      <c r="H268" s="705"/>
      <c r="I268" s="355"/>
    </row>
    <row r="269" spans="1:9" hidden="1" x14ac:dyDescent="0.25">
      <c r="A269" s="10"/>
      <c r="B269" s="354"/>
      <c r="C269" s="11"/>
      <c r="D269" s="690"/>
      <c r="E269" s="190"/>
      <c r="F269" s="637"/>
      <c r="G269" s="705"/>
      <c r="H269" s="705"/>
      <c r="I269" s="355"/>
    </row>
    <row r="270" spans="1:9" hidden="1" x14ac:dyDescent="0.25">
      <c r="A270" s="10"/>
      <c r="B270" s="354"/>
      <c r="C270" s="104" t="s">
        <v>353</v>
      </c>
      <c r="D270" s="610"/>
      <c r="E270" s="105"/>
      <c r="F270" s="611"/>
      <c r="G270" s="612"/>
      <c r="H270" s="612"/>
      <c r="I270" s="109"/>
    </row>
    <row r="271" spans="1:9" hidden="1" x14ac:dyDescent="0.25">
      <c r="A271" s="10"/>
      <c r="B271" s="354"/>
      <c r="C271" s="11"/>
      <c r="D271" s="690" t="s">
        <v>354</v>
      </c>
      <c r="E271" s="190"/>
      <c r="F271" s="637"/>
      <c r="G271" s="705"/>
      <c r="H271" s="705"/>
      <c r="I271" s="355"/>
    </row>
    <row r="272" spans="1:9" hidden="1" x14ac:dyDescent="0.25">
      <c r="A272" s="10"/>
      <c r="B272" s="354"/>
      <c r="C272" s="11"/>
      <c r="D272" s="728" t="s">
        <v>355</v>
      </c>
      <c r="E272" s="281"/>
      <c r="F272" s="750">
        <f>F248</f>
        <v>0</v>
      </c>
      <c r="G272" s="751">
        <f>G248</f>
        <v>0</v>
      </c>
      <c r="H272" s="752"/>
      <c r="I272" s="355"/>
    </row>
    <row r="273" spans="1:9" hidden="1" x14ac:dyDescent="0.25">
      <c r="A273" s="10"/>
      <c r="B273" s="354"/>
      <c r="C273" s="11"/>
      <c r="D273" s="728" t="s">
        <v>356</v>
      </c>
      <c r="E273" s="281"/>
      <c r="F273" s="753"/>
      <c r="G273" s="752"/>
      <c r="H273" s="752"/>
      <c r="I273" s="355"/>
    </row>
    <row r="274" spans="1:9" hidden="1" x14ac:dyDescent="0.25">
      <c r="A274" s="10"/>
      <c r="B274" s="354"/>
      <c r="C274" s="11"/>
      <c r="D274" s="728" t="s">
        <v>357</v>
      </c>
      <c r="E274" s="281"/>
      <c r="F274" s="754"/>
      <c r="G274" s="755"/>
      <c r="H274" s="752"/>
      <c r="I274" s="355"/>
    </row>
    <row r="275" spans="1:9" hidden="1" x14ac:dyDescent="0.25">
      <c r="A275" s="10"/>
      <c r="B275" s="354"/>
      <c r="C275" s="11"/>
      <c r="D275" s="690"/>
      <c r="E275" s="190"/>
      <c r="F275" s="753"/>
      <c r="G275" s="752"/>
      <c r="H275" s="752"/>
      <c r="I275" s="355"/>
    </row>
    <row r="276" spans="1:9" hidden="1" x14ac:dyDescent="0.25">
      <c r="A276" s="10"/>
      <c r="B276" s="354"/>
      <c r="C276" s="11"/>
      <c r="D276" s="690" t="s">
        <v>358</v>
      </c>
      <c r="E276" s="190"/>
      <c r="F276" s="753"/>
      <c r="G276" s="752"/>
      <c r="H276" s="752"/>
      <c r="I276" s="355"/>
    </row>
    <row r="277" spans="1:9" hidden="1" x14ac:dyDescent="0.25">
      <c r="A277" s="10"/>
      <c r="B277" s="354"/>
      <c r="C277" s="11"/>
      <c r="D277" s="728" t="s">
        <v>355</v>
      </c>
      <c r="E277" s="281"/>
      <c r="F277" s="750">
        <f>F247</f>
        <v>174</v>
      </c>
      <c r="G277" s="751">
        <f>G247</f>
        <v>177</v>
      </c>
      <c r="H277" s="752"/>
      <c r="I277" s="355"/>
    </row>
    <row r="278" spans="1:9" hidden="1" x14ac:dyDescent="0.25">
      <c r="A278" s="10"/>
      <c r="B278" s="354"/>
      <c r="C278" s="11"/>
      <c r="D278" s="728" t="s">
        <v>359</v>
      </c>
      <c r="E278" s="281"/>
      <c r="F278" s="753"/>
      <c r="G278" s="752"/>
      <c r="H278" s="752"/>
      <c r="I278" s="355"/>
    </row>
    <row r="279" spans="1:9" hidden="1" x14ac:dyDescent="0.25">
      <c r="A279" s="10"/>
      <c r="B279" s="354"/>
      <c r="C279" s="11"/>
      <c r="D279" s="728" t="s">
        <v>360</v>
      </c>
      <c r="E279" s="281"/>
      <c r="F279" s="754"/>
      <c r="G279" s="755"/>
      <c r="H279" s="752"/>
      <c r="I279" s="355"/>
    </row>
    <row r="280" spans="1:9" hidden="1" x14ac:dyDescent="0.25">
      <c r="A280" s="10"/>
      <c r="B280" s="354"/>
      <c r="C280" s="11"/>
      <c r="D280" s="728"/>
      <c r="E280" s="281"/>
      <c r="F280" s="753"/>
      <c r="G280" s="752"/>
      <c r="H280" s="752"/>
      <c r="I280" s="355"/>
    </row>
    <row r="281" spans="1:9" hidden="1" x14ac:dyDescent="0.25">
      <c r="A281" s="10"/>
      <c r="B281" s="354"/>
      <c r="C281" s="11"/>
      <c r="D281" s="690" t="s">
        <v>361</v>
      </c>
      <c r="E281" s="190"/>
      <c r="F281" s="753"/>
      <c r="G281" s="752"/>
      <c r="H281" s="752"/>
      <c r="I281" s="355"/>
    </row>
    <row r="282" spans="1:9" hidden="1" x14ac:dyDescent="0.25">
      <c r="A282" s="10"/>
      <c r="B282" s="354"/>
      <c r="C282" s="11"/>
      <c r="D282" s="728" t="s">
        <v>355</v>
      </c>
      <c r="E282" s="281"/>
      <c r="F282" s="750">
        <f>SUM(F272,F277)</f>
        <v>174</v>
      </c>
      <c r="G282" s="751">
        <f t="shared" ref="G282:G284" si="1">SUM(G272,G277)</f>
        <v>177</v>
      </c>
      <c r="H282" s="752"/>
      <c r="I282" s="355"/>
    </row>
    <row r="283" spans="1:9" hidden="1" x14ac:dyDescent="0.25">
      <c r="A283" s="10"/>
      <c r="B283" s="354"/>
      <c r="C283" s="11"/>
      <c r="D283" s="728" t="s">
        <v>362</v>
      </c>
      <c r="E283" s="281"/>
      <c r="F283" s="753">
        <f t="shared" ref="F283:F284" si="2">SUM(F273,F278)</f>
        <v>0</v>
      </c>
      <c r="G283" s="752">
        <f t="shared" si="1"/>
        <v>0</v>
      </c>
      <c r="H283" s="752"/>
      <c r="I283" s="355"/>
    </row>
    <row r="284" spans="1:9" hidden="1" x14ac:dyDescent="0.25">
      <c r="A284" s="10"/>
      <c r="B284" s="354"/>
      <c r="C284" s="11"/>
      <c r="D284" s="728" t="s">
        <v>360</v>
      </c>
      <c r="E284" s="281"/>
      <c r="F284" s="754">
        <f t="shared" si="2"/>
        <v>0</v>
      </c>
      <c r="G284" s="755">
        <f t="shared" si="1"/>
        <v>0</v>
      </c>
      <c r="H284" s="752"/>
      <c r="I284" s="355"/>
    </row>
    <row r="285" spans="1:9" hidden="1" x14ac:dyDescent="0.25">
      <c r="A285" s="10"/>
      <c r="B285" s="354"/>
      <c r="C285" s="11"/>
      <c r="D285" s="728"/>
      <c r="E285" s="281"/>
      <c r="F285" s="753"/>
      <c r="G285" s="752"/>
      <c r="H285" s="752"/>
      <c r="I285" s="355"/>
    </row>
    <row r="286" spans="1:9" hidden="1" x14ac:dyDescent="0.25">
      <c r="A286" s="10"/>
      <c r="B286" s="365"/>
      <c r="C286" s="11"/>
      <c r="D286" s="690"/>
      <c r="E286" s="190"/>
      <c r="F286" s="637"/>
      <c r="G286" s="705"/>
      <c r="H286" s="705"/>
      <c r="I286" s="355"/>
    </row>
    <row r="287" spans="1:9" x14ac:dyDescent="0.25">
      <c r="A287" s="10"/>
      <c r="B287" s="25" t="s">
        <v>363</v>
      </c>
      <c r="C287" s="26"/>
      <c r="D287" s="556"/>
      <c r="E287" s="27"/>
      <c r="F287" s="366"/>
      <c r="G287" s="557"/>
      <c r="H287" s="366"/>
      <c r="I287" s="366"/>
    </row>
    <row r="288" spans="1:9" x14ac:dyDescent="0.25">
      <c r="A288" s="10"/>
      <c r="C288" s="104" t="s">
        <v>364</v>
      </c>
      <c r="D288" s="610"/>
      <c r="E288" s="105"/>
      <c r="F288" s="611"/>
      <c r="G288" s="612"/>
      <c r="H288" s="612"/>
      <c r="I288" s="109"/>
    </row>
    <row r="289" spans="1:9" x14ac:dyDescent="0.25">
      <c r="A289" s="10"/>
      <c r="C289" s="32"/>
      <c r="D289" s="690" t="s">
        <v>365</v>
      </c>
      <c r="E289" s="756">
        <f>E292/E291</f>
        <v>2.0101180438448565</v>
      </c>
      <c r="F289" s="757">
        <f>F292/F291</f>
        <v>2.0581683168316833</v>
      </c>
      <c r="G289" s="758">
        <f>G292/G291</f>
        <v>2.0496134020618557</v>
      </c>
      <c r="H289" s="759" t="s">
        <v>21</v>
      </c>
      <c r="I289" s="128" t="s">
        <v>21</v>
      </c>
    </row>
    <row r="290" spans="1:9" x14ac:dyDescent="0.25">
      <c r="A290" s="10"/>
      <c r="C290" s="32"/>
      <c r="D290" s="690" t="s">
        <v>368</v>
      </c>
      <c r="E290" s="760">
        <v>1.75</v>
      </c>
      <c r="F290" s="761">
        <v>1.75</v>
      </c>
      <c r="G290" s="762">
        <v>1.75</v>
      </c>
      <c r="H290" s="652" t="s">
        <v>734</v>
      </c>
      <c r="I290" s="43" t="s">
        <v>735</v>
      </c>
    </row>
    <row r="291" spans="1:9" x14ac:dyDescent="0.25">
      <c r="A291" s="10"/>
      <c r="C291" s="32"/>
      <c r="D291" s="690" t="s">
        <v>370</v>
      </c>
      <c r="E291" s="691">
        <v>1779</v>
      </c>
      <c r="F291" s="650">
        <v>1616</v>
      </c>
      <c r="G291" s="666">
        <v>1552</v>
      </c>
      <c r="H291" s="652" t="s">
        <v>736</v>
      </c>
      <c r="I291" s="43" t="s">
        <v>737</v>
      </c>
    </row>
    <row r="292" spans="1:9" x14ac:dyDescent="0.25">
      <c r="A292" s="10"/>
      <c r="C292" s="32"/>
      <c r="D292" s="690" t="s">
        <v>371</v>
      </c>
      <c r="E292" s="691">
        <v>3576</v>
      </c>
      <c r="F292" s="650">
        <v>3326</v>
      </c>
      <c r="G292" s="666">
        <v>3181</v>
      </c>
      <c r="H292" s="652" t="s">
        <v>736</v>
      </c>
      <c r="I292" s="43" t="s">
        <v>737</v>
      </c>
    </row>
    <row r="293" spans="1:9" x14ac:dyDescent="0.25">
      <c r="A293" s="10"/>
      <c r="C293" s="32"/>
      <c r="D293" s="690" t="s">
        <v>372</v>
      </c>
      <c r="E293" s="691">
        <f>(E292-(E290*E291))</f>
        <v>462.75</v>
      </c>
      <c r="F293" s="763">
        <f>(F292-(F290*F291))</f>
        <v>498</v>
      </c>
      <c r="G293" s="102"/>
      <c r="H293" s="759" t="s">
        <v>21</v>
      </c>
      <c r="I293" s="128" t="s">
        <v>21</v>
      </c>
    </row>
    <row r="294" spans="1:9" x14ac:dyDescent="0.25">
      <c r="A294" s="10"/>
      <c r="C294" s="32"/>
      <c r="D294" s="690" t="s">
        <v>374</v>
      </c>
      <c r="E294" s="745">
        <f>E292-E291</f>
        <v>1797</v>
      </c>
      <c r="F294" s="650">
        <f>F292-F291</f>
        <v>1710</v>
      </c>
      <c r="G294" s="666">
        <f>G292-G291</f>
        <v>1629</v>
      </c>
      <c r="H294" s="128" t="s">
        <v>21</v>
      </c>
      <c r="I294" s="128" t="s">
        <v>21</v>
      </c>
    </row>
    <row r="295" spans="1:9" x14ac:dyDescent="0.25">
      <c r="A295" s="10"/>
      <c r="C295" s="32"/>
      <c r="D295" s="764" t="s">
        <v>375</v>
      </c>
      <c r="E295" s="765">
        <v>522</v>
      </c>
      <c r="F295" s="766">
        <v>457</v>
      </c>
      <c r="G295" s="767">
        <v>271</v>
      </c>
      <c r="H295" s="382" t="s">
        <v>738</v>
      </c>
      <c r="I295" s="382" t="s">
        <v>739</v>
      </c>
    </row>
    <row r="296" spans="1:9" x14ac:dyDescent="0.25">
      <c r="A296" s="10"/>
      <c r="C296" s="32"/>
      <c r="D296" s="690"/>
      <c r="E296" s="190"/>
      <c r="F296" s="693"/>
      <c r="G296" s="666"/>
      <c r="H296" s="666"/>
      <c r="I296" s="128"/>
    </row>
    <row r="297" spans="1:9" x14ac:dyDescent="0.25">
      <c r="A297" s="10"/>
      <c r="C297" s="32"/>
      <c r="D297" s="690"/>
      <c r="E297" s="190"/>
      <c r="F297" s="693"/>
      <c r="G297" s="666"/>
      <c r="H297" s="666"/>
      <c r="I297" s="128"/>
    </row>
    <row r="298" spans="1:9" x14ac:dyDescent="0.25">
      <c r="A298" s="10"/>
      <c r="B298" s="25" t="s">
        <v>378</v>
      </c>
      <c r="C298" s="26"/>
      <c r="D298" s="556"/>
      <c r="E298" s="27"/>
      <c r="F298" s="366"/>
      <c r="G298" s="557"/>
      <c r="H298" s="366"/>
      <c r="I298" s="366"/>
    </row>
    <row r="299" spans="1:9" x14ac:dyDescent="0.25">
      <c r="A299" s="10"/>
      <c r="C299" s="32"/>
      <c r="D299" s="701" t="s">
        <v>740</v>
      </c>
      <c r="E299" s="210"/>
      <c r="F299" s="693"/>
      <c r="G299" s="666"/>
      <c r="H299" s="666"/>
      <c r="I299" s="128"/>
    </row>
    <row r="300" spans="1:9" x14ac:dyDescent="0.25">
      <c r="A300" s="10"/>
      <c r="C300" s="32"/>
      <c r="D300" s="690" t="s">
        <v>741</v>
      </c>
      <c r="E300" s="746">
        <v>6989</v>
      </c>
      <c r="F300" s="650">
        <v>7905</v>
      </c>
      <c r="G300" s="666">
        <v>8540</v>
      </c>
      <c r="H300" s="451" t="s">
        <v>742</v>
      </c>
      <c r="I300" s="43" t="s">
        <v>743</v>
      </c>
    </row>
    <row r="301" spans="1:9" x14ac:dyDescent="0.25">
      <c r="A301" s="10"/>
      <c r="C301" s="32"/>
      <c r="D301" s="690" t="s">
        <v>744</v>
      </c>
      <c r="E301" s="768">
        <f>16832-E300</f>
        <v>9843</v>
      </c>
      <c r="F301" s="650">
        <v>3470</v>
      </c>
      <c r="G301" s="666">
        <v>2811</v>
      </c>
      <c r="H301" s="451" t="s">
        <v>742</v>
      </c>
      <c r="I301" s="43" t="s">
        <v>743</v>
      </c>
    </row>
    <row r="302" spans="1:9" x14ac:dyDescent="0.25">
      <c r="A302" s="10"/>
      <c r="C302" s="32"/>
      <c r="D302" s="690" t="s">
        <v>745</v>
      </c>
      <c r="E302" s="769"/>
      <c r="F302" s="650">
        <v>2029</v>
      </c>
      <c r="G302" s="666">
        <v>2249</v>
      </c>
      <c r="H302" s="451" t="s">
        <v>742</v>
      </c>
      <c r="I302" s="43" t="s">
        <v>743</v>
      </c>
    </row>
    <row r="303" spans="1:9" x14ac:dyDescent="0.25">
      <c r="A303" s="10"/>
      <c r="C303" s="32"/>
      <c r="D303" s="690" t="s">
        <v>746</v>
      </c>
      <c r="E303" s="769"/>
      <c r="F303" s="650">
        <v>581</v>
      </c>
      <c r="G303" s="666">
        <v>101</v>
      </c>
      <c r="H303" s="451" t="s">
        <v>742</v>
      </c>
      <c r="I303" s="43" t="s">
        <v>743</v>
      </c>
    </row>
    <row r="304" spans="1:9" x14ac:dyDescent="0.25">
      <c r="A304" s="10"/>
      <c r="C304" s="32"/>
      <c r="D304" s="690" t="s">
        <v>747</v>
      </c>
      <c r="E304" s="691">
        <f>6066</f>
        <v>6066</v>
      </c>
      <c r="F304" s="650">
        <v>4727</v>
      </c>
      <c r="G304" s="666">
        <v>3822</v>
      </c>
      <c r="H304" s="451" t="s">
        <v>742</v>
      </c>
      <c r="I304" s="43" t="s">
        <v>743</v>
      </c>
    </row>
    <row r="305" spans="1:9" x14ac:dyDescent="0.25">
      <c r="A305" s="10"/>
      <c r="C305" s="32"/>
      <c r="D305" s="690" t="s">
        <v>748</v>
      </c>
      <c r="E305" s="746">
        <f>3434+3042</f>
        <v>6476</v>
      </c>
      <c r="F305" s="650">
        <v>6691</v>
      </c>
      <c r="G305" s="666">
        <v>7711</v>
      </c>
      <c r="H305" s="451" t="s">
        <v>742</v>
      </c>
      <c r="I305" s="43" t="s">
        <v>743</v>
      </c>
    </row>
    <row r="306" spans="1:9" x14ac:dyDescent="0.25">
      <c r="A306" s="10"/>
      <c r="C306" s="32"/>
      <c r="D306" s="690" t="s">
        <v>749</v>
      </c>
      <c r="E306" s="691">
        <v>2</v>
      </c>
      <c r="F306" s="650">
        <v>18</v>
      </c>
      <c r="G306" s="666">
        <v>19</v>
      </c>
      <c r="H306" s="451" t="s">
        <v>742</v>
      </c>
      <c r="I306" s="43" t="s">
        <v>743</v>
      </c>
    </row>
    <row r="307" spans="1:9" x14ac:dyDescent="0.25">
      <c r="A307" s="10"/>
      <c r="C307" s="32"/>
      <c r="D307" s="770" t="s">
        <v>750</v>
      </c>
      <c r="E307" s="771">
        <f>SUM(E300:E306)</f>
        <v>29376</v>
      </c>
      <c r="F307" s="772">
        <f>SUM(F300:F306)</f>
        <v>25421</v>
      </c>
      <c r="G307" s="773">
        <f>SUM(G300:G306)</f>
        <v>25253</v>
      </c>
      <c r="H307" s="773"/>
      <c r="I307" s="414" t="s">
        <v>751</v>
      </c>
    </row>
    <row r="308" spans="1:9" x14ac:dyDescent="0.25">
      <c r="A308" s="10"/>
      <c r="C308" s="32"/>
      <c r="D308" s="690"/>
      <c r="E308" s="190"/>
      <c r="F308" s="693"/>
      <c r="G308" s="666"/>
      <c r="H308" s="666"/>
      <c r="I308" s="128"/>
    </row>
    <row r="309" spans="1:9" x14ac:dyDescent="0.25">
      <c r="A309" s="10"/>
      <c r="C309" s="32"/>
      <c r="D309" s="701" t="s">
        <v>752</v>
      </c>
      <c r="E309" s="774">
        <v>1822</v>
      </c>
      <c r="F309" s="775">
        <v>6917</v>
      </c>
      <c r="G309" s="619">
        <v>5539</v>
      </c>
      <c r="H309" s="451" t="s">
        <v>742</v>
      </c>
      <c r="I309" s="43" t="s">
        <v>753</v>
      </c>
    </row>
    <row r="310" spans="1:9" x14ac:dyDescent="0.25">
      <c r="A310" s="10"/>
      <c r="C310" s="32"/>
      <c r="D310" s="776" t="s">
        <v>754</v>
      </c>
      <c r="E310" s="777"/>
      <c r="F310" s="645"/>
      <c r="G310" s="619"/>
      <c r="H310" s="619"/>
      <c r="I310" s="128"/>
    </row>
    <row r="311" spans="1:9" x14ac:dyDescent="0.25">
      <c r="A311" s="10"/>
      <c r="C311" s="32"/>
      <c r="D311" s="770" t="s">
        <v>755</v>
      </c>
      <c r="E311" s="771">
        <f>SUM(E307,E309,E310)</f>
        <v>31198</v>
      </c>
      <c r="F311" s="772">
        <f>SUM(F307,F309,F310)</f>
        <v>32338</v>
      </c>
      <c r="G311" s="773">
        <f>SUM(G307,G309)</f>
        <v>30792</v>
      </c>
      <c r="H311" s="120"/>
      <c r="I311" s="120"/>
    </row>
    <row r="312" spans="1:9" x14ac:dyDescent="0.25">
      <c r="A312" s="10"/>
      <c r="C312" s="32"/>
      <c r="D312" s="690"/>
      <c r="E312" s="190"/>
      <c r="F312" s="693"/>
      <c r="G312" s="666"/>
      <c r="H312" s="120"/>
      <c r="I312" s="120"/>
    </row>
    <row r="313" spans="1:9" x14ac:dyDescent="0.25">
      <c r="A313" s="10"/>
      <c r="C313" s="32"/>
      <c r="D313" s="690"/>
      <c r="E313" s="190"/>
      <c r="F313" s="693"/>
      <c r="G313" s="666"/>
      <c r="H313" s="120"/>
      <c r="I313" s="120"/>
    </row>
    <row r="314" spans="1:9" x14ac:dyDescent="0.25">
      <c r="A314" s="10"/>
      <c r="C314" s="32"/>
      <c r="D314" s="701" t="s">
        <v>756</v>
      </c>
      <c r="E314" s="210"/>
      <c r="F314" s="693"/>
      <c r="G314" s="666"/>
      <c r="H314" s="120"/>
      <c r="I314" s="120"/>
    </row>
    <row r="315" spans="1:9" x14ac:dyDescent="0.25">
      <c r="A315" s="10"/>
      <c r="C315" s="32"/>
      <c r="D315" s="690" t="s">
        <v>757</v>
      </c>
      <c r="E315" s="778">
        <f>13169</f>
        <v>13169</v>
      </c>
      <c r="F315" s="650">
        <f>11844+266</f>
        <v>12110</v>
      </c>
      <c r="G315" s="666">
        <f>10922+285</f>
        <v>11207</v>
      </c>
      <c r="H315" s="451" t="s">
        <v>742</v>
      </c>
      <c r="I315" s="451" t="s">
        <v>758</v>
      </c>
    </row>
    <row r="316" spans="1:9" x14ac:dyDescent="0.25">
      <c r="A316" s="10"/>
      <c r="C316" s="32"/>
      <c r="D316" s="690" t="s">
        <v>759</v>
      </c>
      <c r="E316" s="691">
        <v>379</v>
      </c>
      <c r="F316" s="650">
        <f>243+239</f>
        <v>482</v>
      </c>
      <c r="G316" s="666">
        <f>248+234</f>
        <v>482</v>
      </c>
      <c r="H316" s="451" t="s">
        <v>742</v>
      </c>
      <c r="I316" s="451" t="s">
        <v>758</v>
      </c>
    </row>
    <row r="317" spans="1:9" x14ac:dyDescent="0.25">
      <c r="A317" s="10"/>
      <c r="C317" s="32"/>
      <c r="D317" s="690"/>
      <c r="E317" s="190"/>
      <c r="F317" s="693"/>
      <c r="G317" s="666"/>
      <c r="H317" s="120"/>
      <c r="I317" s="120"/>
    </row>
    <row r="318" spans="1:9" x14ac:dyDescent="0.25">
      <c r="A318" s="10"/>
      <c r="C318" s="32"/>
      <c r="D318" s="770" t="s">
        <v>760</v>
      </c>
      <c r="E318" s="771">
        <f>SUM(E315:E316)</f>
        <v>13548</v>
      </c>
      <c r="F318" s="772">
        <f>SUM(F315:F316)</f>
        <v>12592</v>
      </c>
      <c r="G318" s="773">
        <f>SUM(G315:G316)</f>
        <v>11689</v>
      </c>
      <c r="H318" s="773"/>
      <c r="I318" s="414" t="s">
        <v>761</v>
      </c>
    </row>
    <row r="319" spans="1:9" x14ac:dyDescent="0.25">
      <c r="A319" s="10"/>
      <c r="C319" s="32"/>
      <c r="D319" s="690"/>
      <c r="E319" s="190"/>
      <c r="F319" s="693"/>
      <c r="G319" s="666"/>
      <c r="H319" s="120"/>
      <c r="I319" s="120"/>
    </row>
    <row r="320" spans="1:9" x14ac:dyDescent="0.25">
      <c r="A320" s="10"/>
      <c r="C320" s="32"/>
      <c r="D320" s="690"/>
      <c r="E320" s="190"/>
      <c r="F320" s="693"/>
      <c r="G320" s="666"/>
      <c r="H320" s="120"/>
      <c r="I320" s="120"/>
    </row>
    <row r="321" spans="1:9" x14ac:dyDescent="0.25">
      <c r="A321" s="10"/>
      <c r="C321" s="32"/>
      <c r="D321" s="701" t="s">
        <v>762</v>
      </c>
      <c r="E321" s="210"/>
      <c r="F321" s="693"/>
      <c r="G321" s="666"/>
      <c r="H321" s="120"/>
      <c r="I321" s="120"/>
    </row>
    <row r="322" spans="1:9" x14ac:dyDescent="0.25">
      <c r="A322" s="10"/>
      <c r="C322" s="32"/>
      <c r="D322" s="690" t="s">
        <v>763</v>
      </c>
      <c r="E322" s="778">
        <v>11692</v>
      </c>
      <c r="F322" s="650">
        <v>7518</v>
      </c>
      <c r="G322" s="666">
        <v>4069</v>
      </c>
      <c r="H322" s="652" t="s">
        <v>742</v>
      </c>
      <c r="I322" s="652" t="s">
        <v>764</v>
      </c>
    </row>
    <row r="323" spans="1:9" x14ac:dyDescent="0.25">
      <c r="A323" s="10"/>
      <c r="C323" s="32"/>
      <c r="D323" s="690" t="s">
        <v>765</v>
      </c>
      <c r="E323" s="691">
        <v>54</v>
      </c>
      <c r="F323" s="650">
        <v>42</v>
      </c>
      <c r="G323" s="666">
        <v>33</v>
      </c>
      <c r="H323" s="652" t="s">
        <v>742</v>
      </c>
      <c r="I323" s="652" t="s">
        <v>764</v>
      </c>
    </row>
    <row r="324" spans="1:9" x14ac:dyDescent="0.25">
      <c r="A324" s="10"/>
      <c r="C324" s="32"/>
      <c r="D324" s="690" t="s">
        <v>766</v>
      </c>
      <c r="E324" s="779"/>
      <c r="F324" s="650"/>
      <c r="G324" s="666">
        <v>6</v>
      </c>
      <c r="H324" s="780"/>
      <c r="I324" s="652" t="s">
        <v>764</v>
      </c>
    </row>
    <row r="325" spans="1:9" x14ac:dyDescent="0.25">
      <c r="A325" s="10"/>
      <c r="C325" s="32"/>
      <c r="D325" s="770" t="s">
        <v>416</v>
      </c>
      <c r="E325" s="771">
        <f>SUM(E322:E324)</f>
        <v>11746</v>
      </c>
      <c r="F325" s="772">
        <f>SUM(F322:F324)</f>
        <v>7560</v>
      </c>
      <c r="G325" s="773">
        <f>SUM(G322:G324)</f>
        <v>4108</v>
      </c>
      <c r="H325" s="120"/>
      <c r="I325" s="120"/>
    </row>
    <row r="326" spans="1:9" x14ac:dyDescent="0.25">
      <c r="A326" s="10"/>
      <c r="C326" s="32"/>
      <c r="D326" s="690"/>
      <c r="E326" s="190"/>
      <c r="F326" s="693"/>
      <c r="G326" s="666"/>
      <c r="H326" s="120"/>
      <c r="I326" s="120"/>
    </row>
    <row r="327" spans="1:9" x14ac:dyDescent="0.25">
      <c r="A327" s="10"/>
      <c r="C327" s="32"/>
      <c r="D327" s="690"/>
      <c r="E327" s="190"/>
      <c r="F327" s="693"/>
      <c r="G327" s="666"/>
      <c r="H327" s="120"/>
      <c r="I327" s="120"/>
    </row>
    <row r="328" spans="1:9" x14ac:dyDescent="0.25">
      <c r="A328" s="10"/>
      <c r="C328" s="32"/>
      <c r="D328" s="701" t="s">
        <v>767</v>
      </c>
      <c r="E328" s="210"/>
      <c r="F328" s="693"/>
      <c r="G328" s="666"/>
      <c r="H328" s="120"/>
      <c r="I328" s="120"/>
    </row>
    <row r="329" spans="1:9" x14ac:dyDescent="0.25">
      <c r="A329" s="10"/>
      <c r="C329" s="32"/>
      <c r="D329" s="690" t="s">
        <v>400</v>
      </c>
      <c r="E329" s="691">
        <v>830</v>
      </c>
      <c r="F329" s="650">
        <v>985</v>
      </c>
      <c r="G329" s="666">
        <v>1012</v>
      </c>
      <c r="H329" s="652" t="s">
        <v>768</v>
      </c>
      <c r="I329" s="652" t="s">
        <v>769</v>
      </c>
    </row>
    <row r="330" spans="1:9" x14ac:dyDescent="0.25">
      <c r="A330" s="10"/>
      <c r="C330" s="32"/>
      <c r="D330" s="690" t="s">
        <v>770</v>
      </c>
      <c r="E330" s="779"/>
      <c r="F330" s="693">
        <v>1</v>
      </c>
      <c r="G330" s="666">
        <v>0</v>
      </c>
      <c r="H330" s="666"/>
      <c r="I330" s="128"/>
    </row>
    <row r="331" spans="1:9" x14ac:dyDescent="0.25">
      <c r="A331" s="10"/>
      <c r="C331" s="32"/>
      <c r="D331" s="770" t="s">
        <v>416</v>
      </c>
      <c r="E331" s="771">
        <f>SUM(E329:E330)</f>
        <v>830</v>
      </c>
      <c r="F331" s="772">
        <f>SUM(F329:F330)</f>
        <v>986</v>
      </c>
      <c r="G331" s="773">
        <f>SUM(G329:G330)</f>
        <v>1012</v>
      </c>
      <c r="H331" s="120"/>
      <c r="I331" s="120"/>
    </row>
    <row r="332" spans="1:9" x14ac:dyDescent="0.25">
      <c r="A332" s="10"/>
      <c r="C332" s="32"/>
      <c r="D332" s="690"/>
      <c r="E332" s="190"/>
      <c r="F332" s="693"/>
      <c r="G332" s="666"/>
      <c r="H332" s="120"/>
      <c r="I332" s="120"/>
    </row>
    <row r="333" spans="1:9" x14ac:dyDescent="0.25">
      <c r="A333" s="10"/>
      <c r="C333" s="32"/>
      <c r="D333" s="701" t="s">
        <v>771</v>
      </c>
      <c r="E333" s="703">
        <f>3793</f>
        <v>3793</v>
      </c>
      <c r="F333" s="775">
        <f>6507</f>
        <v>6507</v>
      </c>
      <c r="G333" s="619">
        <f>10552</f>
        <v>10552</v>
      </c>
      <c r="H333" s="652" t="s">
        <v>772</v>
      </c>
      <c r="I333" s="652" t="s">
        <v>773</v>
      </c>
    </row>
    <row r="334" spans="1:9" x14ac:dyDescent="0.25">
      <c r="A334" s="10"/>
      <c r="C334" s="32"/>
      <c r="D334" s="690"/>
      <c r="E334" s="190"/>
      <c r="F334" s="693"/>
      <c r="G334" s="666"/>
      <c r="H334" s="120"/>
      <c r="I334" s="120"/>
    </row>
    <row r="335" spans="1:9" x14ac:dyDescent="0.25">
      <c r="A335" s="10"/>
      <c r="C335" s="32"/>
      <c r="D335" s="781" t="s">
        <v>403</v>
      </c>
      <c r="E335" s="782">
        <f>SUM(E333,E331,E325,E318,E311)</f>
        <v>61115</v>
      </c>
      <c r="F335" s="783">
        <f>SUM(F333,F331,F325,F318,F311)</f>
        <v>59983</v>
      </c>
      <c r="G335" s="784">
        <f>SUM(G333,G331,G325,G318,G311)</f>
        <v>58153</v>
      </c>
      <c r="H335" s="120"/>
      <c r="I335" s="120"/>
    </row>
    <row r="336" spans="1:9" ht="84.75" x14ac:dyDescent="0.25">
      <c r="A336" s="10"/>
      <c r="C336" s="32"/>
      <c r="D336" s="690"/>
      <c r="E336" s="637" t="b">
        <f>E335=(62895-5371+830-2608)</f>
        <v>0</v>
      </c>
      <c r="F336" s="637" t="b">
        <f>F335=(986+44930+7560+6507-7987)</f>
        <v>0</v>
      </c>
      <c r="G336" s="705" t="b">
        <f>G335=(1012+42481+4108+10552-13166)</f>
        <v>0</v>
      </c>
      <c r="H336" s="785" t="s">
        <v>774</v>
      </c>
      <c r="I336" s="128"/>
    </row>
    <row r="337" spans="1:9" x14ac:dyDescent="0.25">
      <c r="A337" s="10"/>
      <c r="C337" s="32"/>
      <c r="D337" s="210" t="s">
        <v>423</v>
      </c>
      <c r="E337" s="348">
        <f>+SUM(E338:E340)</f>
        <v>62895</v>
      </c>
      <c r="F337" s="693">
        <f t="shared" ref="F337:G337" si="3">+SUM(F338:F340)</f>
        <v>62062</v>
      </c>
      <c r="G337" s="666">
        <f t="shared" si="3"/>
        <v>30792</v>
      </c>
      <c r="H337" s="786" t="s">
        <v>775</v>
      </c>
      <c r="I337" s="786" t="s">
        <v>753</v>
      </c>
    </row>
    <row r="338" spans="1:9" x14ac:dyDescent="0.25">
      <c r="A338" s="10"/>
      <c r="C338" s="32"/>
      <c r="D338" s="655" t="s">
        <v>426</v>
      </c>
      <c r="E338" s="190">
        <v>0</v>
      </c>
      <c r="F338" s="693">
        <v>0</v>
      </c>
      <c r="G338" s="666">
        <v>0</v>
      </c>
      <c r="H338" s="786" t="s">
        <v>775</v>
      </c>
      <c r="I338" s="786" t="s">
        <v>753</v>
      </c>
    </row>
    <row r="339" spans="1:9" x14ac:dyDescent="0.25">
      <c r="A339" s="10"/>
      <c r="C339" s="32"/>
      <c r="D339" s="655" t="s">
        <v>428</v>
      </c>
      <c r="E339" s="348">
        <v>62895</v>
      </c>
      <c r="F339" s="693">
        <v>62062</v>
      </c>
      <c r="G339" s="666">
        <v>30792</v>
      </c>
      <c r="H339" s="786" t="s">
        <v>775</v>
      </c>
      <c r="I339" s="786" t="s">
        <v>753</v>
      </c>
    </row>
    <row r="340" spans="1:9" x14ac:dyDescent="0.25">
      <c r="A340" s="10"/>
      <c r="C340" s="11"/>
      <c r="D340" s="655" t="s">
        <v>429</v>
      </c>
      <c r="E340" s="378">
        <v>0</v>
      </c>
      <c r="F340" s="787">
        <v>0</v>
      </c>
      <c r="G340" s="767">
        <v>0</v>
      </c>
      <c r="H340" s="767"/>
      <c r="I340" s="382"/>
    </row>
    <row r="342" spans="1:9" x14ac:dyDescent="0.25">
      <c r="E342" s="127"/>
      <c r="F342" s="127">
        <f>F335-F329</f>
        <v>58998</v>
      </c>
      <c r="G342" s="127">
        <f>G335-G329</f>
        <v>57141</v>
      </c>
    </row>
    <row r="343" spans="1:9" x14ac:dyDescent="0.25">
      <c r="F343" s="127">
        <f>F337-F342</f>
        <v>3064</v>
      </c>
      <c r="G343" s="127">
        <f>G337-G342</f>
        <v>-26349</v>
      </c>
    </row>
  </sheetData>
  <dataConsolidate/>
  <mergeCells count="9">
    <mergeCell ref="E301:E303"/>
    <mergeCell ref="B1:D2"/>
    <mergeCell ref="E5:G5"/>
    <mergeCell ref="E186:E189"/>
    <mergeCell ref="F186:F189"/>
    <mergeCell ref="G186:G189"/>
    <mergeCell ref="E190:E194"/>
    <mergeCell ref="F190:F194"/>
    <mergeCell ref="G190:G194"/>
  </mergeCells>
  <conditionalFormatting sqref="E94:E95 F94:G97">
    <cfRule type="containsText" dxfId="57" priority="9" operator="containsText" text="FALSE">
      <formula>NOT(ISERROR(SEARCH("FALSE",E94)))</formula>
    </cfRule>
    <cfRule type="containsText" dxfId="56" priority="10" operator="containsText" text="TRUE">
      <formula>NOT(ISERROR(SEARCH("TRUE",E94)))</formula>
    </cfRule>
  </conditionalFormatting>
  <conditionalFormatting sqref="E129 F129:G132">
    <cfRule type="containsText" dxfId="55" priority="7" operator="containsText" text="FALSE">
      <formula>NOT(ISERROR(SEARCH("FALSE",E129)))</formula>
    </cfRule>
    <cfRule type="containsText" dxfId="54" priority="8" operator="containsText" text="TRUE">
      <formula>NOT(ISERROR(SEARCH("TRUE",E129)))</formula>
    </cfRule>
  </conditionalFormatting>
  <conditionalFormatting sqref="E180:E182 F180:G183">
    <cfRule type="containsText" dxfId="53" priority="5" operator="containsText" text="FALSE">
      <formula>NOT(ISERROR(SEARCH("FALSE",E180)))</formula>
    </cfRule>
    <cfRule type="containsText" dxfId="52" priority="6" operator="containsText" text="TRUE">
      <formula>NOT(ISERROR(SEARCH("TRUE",E180)))</formula>
    </cfRule>
  </conditionalFormatting>
  <conditionalFormatting sqref="E40:G40">
    <cfRule type="containsText" dxfId="51" priority="3" operator="containsText" text="FALSE">
      <formula>NOT(ISERROR(SEARCH("FALSE",E40)))</formula>
    </cfRule>
    <cfRule type="containsText" dxfId="50" priority="4" operator="containsText" text="TRUE">
      <formula>NOT(ISERROR(SEARCH("TRUE",E40)))</formula>
    </cfRule>
  </conditionalFormatting>
  <conditionalFormatting sqref="E197:G197">
    <cfRule type="containsText" dxfId="49" priority="23" operator="containsText" text="FALSE">
      <formula>NOT(ISERROR(SEARCH("FALSE",E197)))</formula>
    </cfRule>
    <cfRule type="containsText" dxfId="48" priority="24" operator="containsText" text="TRUE">
      <formula>NOT(ISERROR(SEARCH("TRUE",E197)))</formula>
    </cfRule>
  </conditionalFormatting>
  <conditionalFormatting sqref="E211:G213">
    <cfRule type="containsText" dxfId="47" priority="19" operator="containsText" text="FALSE">
      <formula>NOT(ISERROR(SEARCH("FALSE",E211)))</formula>
    </cfRule>
    <cfRule type="containsText" dxfId="46" priority="20" operator="containsText" text="TRUE">
      <formula>NOT(ISERROR(SEARCH("TRUE",E211)))</formula>
    </cfRule>
  </conditionalFormatting>
  <conditionalFormatting sqref="E231:G232">
    <cfRule type="containsText" dxfId="45" priority="21" operator="containsText" text="FALSE">
      <formula>NOT(ISERROR(SEARCH("FALSE",E231)))</formula>
    </cfRule>
    <cfRule type="containsText" dxfId="44" priority="22" operator="containsText" text="TRUE">
      <formula>NOT(ISERROR(SEARCH("TRUE",E231)))</formula>
    </cfRule>
  </conditionalFormatting>
  <conditionalFormatting sqref="E243:G244 E251:G251">
    <cfRule type="containsText" dxfId="43" priority="17" operator="containsText" text="FALSE">
      <formula>NOT(ISERROR(SEARCH("FALSE",E243)))</formula>
    </cfRule>
    <cfRule type="containsText" dxfId="42" priority="18" operator="containsText" text="TRUE">
      <formula>NOT(ISERROR(SEARCH("TRUE",E243)))</formula>
    </cfRule>
  </conditionalFormatting>
  <conditionalFormatting sqref="E163:H163">
    <cfRule type="containsText" dxfId="41" priority="11" operator="containsText" text="FALSE">
      <formula>NOT(ISERROR(SEARCH("FALSE",E163)))</formula>
    </cfRule>
    <cfRule type="containsText" dxfId="40" priority="12" operator="containsText" text="TRUE">
      <formula>NOT(ISERROR(SEARCH("TRUE",E163)))</formula>
    </cfRule>
  </conditionalFormatting>
  <conditionalFormatting sqref="E166:H166">
    <cfRule type="containsText" dxfId="39" priority="25" operator="containsText" text="FALSE">
      <formula>NOT(ISERROR(SEARCH("FALSE",E166)))</formula>
    </cfRule>
    <cfRule type="containsText" dxfId="38" priority="26" operator="containsText" text="TRUE">
      <formula>NOT(ISERROR(SEARCH("TRUE",E166)))</formula>
    </cfRule>
  </conditionalFormatting>
  <conditionalFormatting sqref="E336:H336">
    <cfRule type="containsText" dxfId="37" priority="1" operator="containsText" text="FALSE">
      <formula>NOT(ISERROR(SEARCH("FALSE",E336)))</formula>
    </cfRule>
    <cfRule type="containsText" dxfId="36" priority="2" operator="containsText" text="TRUE">
      <formula>NOT(ISERROR(SEARCH("TRUE",E336)))</formula>
    </cfRule>
  </conditionalFormatting>
  <conditionalFormatting sqref="F141:G142">
    <cfRule type="containsText" dxfId="35" priority="13" operator="containsText" text="FALSE">
      <formula>NOT(ISERROR(SEARCH("FALSE",F141)))</formula>
    </cfRule>
    <cfRule type="containsText" dxfId="34" priority="14" operator="containsText" text="TRUE">
      <formula>NOT(ISERROR(SEARCH("TRUE",F141)))</formula>
    </cfRule>
  </conditionalFormatting>
  <conditionalFormatting sqref="F266:I269">
    <cfRule type="containsText" dxfId="33" priority="15" operator="containsText" text="FALSE">
      <formula>NOT(ISERROR(SEARCH("FALSE",F266)))</formula>
    </cfRule>
    <cfRule type="containsText" dxfId="32" priority="16" operator="containsText" text="TRUE">
      <formula>NOT(ISERROR(SEARCH("TRUE",F266)))</formula>
    </cfRule>
  </conditionalFormatting>
  <conditionalFormatting sqref="F271:I286">
    <cfRule type="containsText" dxfId="31" priority="27" operator="containsText" text="FALSE">
      <formula>NOT(ISERROR(SEARCH("FALSE",F271)))</formula>
    </cfRule>
    <cfRule type="containsText" dxfId="30" priority="28" operator="containsText" text="TRUE">
      <formula>NOT(ISERROR(SEARCH("TRUE",F271)))</formula>
    </cfRule>
  </conditionalFormatting>
  <dataValidations count="1">
    <dataValidation type="list" allowBlank="1" showInputMessage="1" showErrorMessage="1" sqref="E215:F215" xr:uid="{88FA0029-1AAB-4C44-9144-056E4D5F75F8}">
      <formula1>"Y, N"</formula1>
    </dataValidation>
  </dataValidations>
  <pageMargins left="0.7" right="0.7" top="0.75" bottom="0.75" header="0.3" footer="0.3"/>
  <pageSetup paperSize="9" orientation="portrait" r:id="rId1"/>
  <headerFooter>
    <oddFooter>&amp;C&amp;7&amp;B&amp;"Arial"Document Classification: KPMG Confidential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2C12-7A7E-4364-B1BD-71C587EE0B2C}">
  <sheetPr>
    <tabColor rgb="FF0070C0"/>
  </sheetPr>
  <dimension ref="A1:M448"/>
  <sheetViews>
    <sheetView showGridLines="0" topLeftCell="B124" zoomScale="81" zoomScaleNormal="70" workbookViewId="0">
      <selection activeCell="E147" sqref="E147"/>
    </sheetView>
  </sheetViews>
  <sheetFormatPr defaultColWidth="9.140625" defaultRowHeight="15" outlineLevelRow="1" x14ac:dyDescent="0.25"/>
  <cols>
    <col min="1" max="1" width="9.140625" customWidth="1"/>
    <col min="2" max="2" width="7.85546875" customWidth="1"/>
    <col min="3" max="3" width="8.85546875" customWidth="1"/>
    <col min="4" max="4" width="91.42578125" customWidth="1"/>
    <col min="5" max="5" width="17.5703125" style="353" customWidth="1"/>
    <col min="6" max="6" width="17.5703125" customWidth="1"/>
    <col min="7" max="7" width="17.5703125" style="999" customWidth="1"/>
    <col min="8" max="8" width="17.5703125" customWidth="1"/>
    <col min="9" max="9" width="22.85546875" style="428" customWidth="1"/>
    <col min="10" max="14" width="17.5703125" customWidth="1"/>
    <col min="16" max="16" width="14.140625" customWidth="1"/>
  </cols>
  <sheetData>
    <row r="1" spans="1:11" ht="15.75" customHeight="1" x14ac:dyDescent="0.25">
      <c r="A1" s="1"/>
      <c r="B1" s="2" t="s">
        <v>776</v>
      </c>
      <c r="C1" s="2"/>
      <c r="D1" s="2"/>
      <c r="E1" s="788"/>
      <c r="F1" s="789"/>
      <c r="G1" s="549"/>
      <c r="H1" s="549"/>
      <c r="I1" s="430"/>
    </row>
    <row r="2" spans="1:11" ht="11.25" customHeight="1" x14ac:dyDescent="0.25">
      <c r="A2" s="1"/>
      <c r="B2" s="2"/>
      <c r="C2" s="2"/>
      <c r="D2" s="2"/>
      <c r="E2" s="788"/>
      <c r="F2" s="789"/>
      <c r="G2" s="549"/>
      <c r="H2" s="549"/>
      <c r="I2" s="430"/>
    </row>
    <row r="3" spans="1:11" ht="24" customHeight="1" x14ac:dyDescent="0.25">
      <c r="A3" s="5"/>
      <c r="B3" s="6" t="s">
        <v>1</v>
      </c>
      <c r="C3" s="6"/>
      <c r="D3" s="7"/>
      <c r="E3" s="790"/>
      <c r="F3" s="791"/>
      <c r="G3" s="551"/>
      <c r="H3" s="551"/>
      <c r="I3" s="432"/>
    </row>
    <row r="4" spans="1:11" x14ac:dyDescent="0.25">
      <c r="A4" s="10"/>
      <c r="B4" s="11"/>
      <c r="C4" s="11"/>
      <c r="D4" s="12"/>
      <c r="E4" s="792"/>
      <c r="F4" s="793"/>
      <c r="G4" s="553"/>
      <c r="H4" s="553"/>
      <c r="I4" s="16"/>
    </row>
    <row r="5" spans="1:11" x14ac:dyDescent="0.25">
      <c r="A5" s="10"/>
      <c r="B5" s="11"/>
      <c r="C5" s="11"/>
      <c r="D5" s="17" t="s">
        <v>2</v>
      </c>
      <c r="E5" s="794" t="s">
        <v>777</v>
      </c>
      <c r="F5" s="795"/>
      <c r="G5" s="796"/>
      <c r="H5" s="23" t="s">
        <v>4</v>
      </c>
      <c r="I5" s="21" t="s">
        <v>5</v>
      </c>
    </row>
    <row r="6" spans="1:11" x14ac:dyDescent="0.25">
      <c r="A6" s="10"/>
      <c r="B6" s="11"/>
      <c r="C6" s="11"/>
      <c r="D6" s="17" t="s">
        <v>6</v>
      </c>
      <c r="E6" s="794">
        <v>2024</v>
      </c>
      <c r="F6" s="795">
        <v>2023</v>
      </c>
      <c r="G6" s="796">
        <v>2022</v>
      </c>
      <c r="H6" s="23"/>
      <c r="I6" s="21"/>
    </row>
    <row r="7" spans="1:11" x14ac:dyDescent="0.25">
      <c r="A7" s="10"/>
      <c r="B7" s="25" t="s">
        <v>7</v>
      </c>
      <c r="C7" s="26"/>
      <c r="D7" s="27"/>
      <c r="E7" s="797"/>
      <c r="F7" s="798"/>
      <c r="G7" s="557"/>
      <c r="H7" s="557"/>
      <c r="I7" s="31"/>
    </row>
    <row r="8" spans="1:11" x14ac:dyDescent="0.25">
      <c r="A8" s="10"/>
      <c r="B8" s="11"/>
      <c r="C8" s="32" t="s">
        <v>8</v>
      </c>
      <c r="D8" s="33"/>
      <c r="E8" s="799">
        <f>SUM(E9:E11)</f>
        <v>140512</v>
      </c>
      <c r="F8" s="800">
        <f>SUM(F9:F11)</f>
        <v>138205</v>
      </c>
      <c r="G8" s="801">
        <f>SUM(G9:G11)</f>
        <v>134535</v>
      </c>
      <c r="H8" s="585" t="s">
        <v>384</v>
      </c>
      <c r="I8" s="802" t="s">
        <v>384</v>
      </c>
      <c r="J8" s="44"/>
      <c r="K8" s="44"/>
    </row>
    <row r="9" spans="1:11" s="44" customFormat="1" x14ac:dyDescent="0.25">
      <c r="A9" s="39"/>
      <c r="B9" s="32"/>
      <c r="C9" s="11"/>
      <c r="D9" s="33" t="s">
        <v>9</v>
      </c>
      <c r="E9" s="803">
        <v>102035</v>
      </c>
      <c r="F9" s="804">
        <v>104626</v>
      </c>
      <c r="G9" s="805">
        <v>105353</v>
      </c>
      <c r="H9" s="344" t="s">
        <v>778</v>
      </c>
      <c r="I9" s="88" t="s">
        <v>779</v>
      </c>
      <c r="J9" s="38">
        <f>F9/F8</f>
        <v>0.75703483954994388</v>
      </c>
      <c r="K9" s="38">
        <f>G9/G8</f>
        <v>0.78308990225591857</v>
      </c>
    </row>
    <row r="10" spans="1:11" s="44" customFormat="1" x14ac:dyDescent="0.25">
      <c r="A10" s="39"/>
      <c r="B10" s="32"/>
      <c r="C10" s="11"/>
      <c r="D10" s="33" t="s">
        <v>12</v>
      </c>
      <c r="E10" s="803">
        <v>38476</v>
      </c>
      <c r="F10" s="804">
        <v>33579</v>
      </c>
      <c r="G10" s="805">
        <v>29176</v>
      </c>
      <c r="H10" s="344" t="s">
        <v>778</v>
      </c>
      <c r="I10" s="88" t="s">
        <v>779</v>
      </c>
      <c r="J10" s="38">
        <f>F10/F8</f>
        <v>0.24296516045005609</v>
      </c>
      <c r="K10" s="38">
        <f>G10/G8</f>
        <v>0.21686549968409707</v>
      </c>
    </row>
    <row r="11" spans="1:11" x14ac:dyDescent="0.25">
      <c r="A11" s="10"/>
      <c r="B11" s="11"/>
      <c r="C11" s="11"/>
      <c r="D11" s="33" t="s">
        <v>13</v>
      </c>
      <c r="E11" s="803">
        <v>1</v>
      </c>
      <c r="F11" s="804">
        <v>0</v>
      </c>
      <c r="G11" s="805">
        <v>6</v>
      </c>
      <c r="H11" s="344" t="s">
        <v>778</v>
      </c>
      <c r="I11" s="88" t="s">
        <v>779</v>
      </c>
    </row>
    <row r="12" spans="1:11" x14ac:dyDescent="0.25">
      <c r="A12" s="10"/>
      <c r="B12" s="11"/>
      <c r="C12" s="11"/>
      <c r="D12" s="33"/>
      <c r="E12" s="806"/>
      <c r="F12" s="807"/>
      <c r="G12" s="571"/>
      <c r="H12" s="585" t="s">
        <v>384</v>
      </c>
      <c r="I12" s="802" t="s">
        <v>384</v>
      </c>
    </row>
    <row r="13" spans="1:11" x14ac:dyDescent="0.25">
      <c r="A13" s="10"/>
      <c r="B13" s="11"/>
      <c r="C13" s="32" t="s">
        <v>14</v>
      </c>
      <c r="D13" s="33"/>
      <c r="E13" s="799">
        <f>SUM(E14:E15)</f>
        <v>6620</v>
      </c>
      <c r="F13" s="800">
        <f>SUM(F14:F15)</f>
        <v>6504</v>
      </c>
      <c r="G13" s="801">
        <f>SUM(G14:G15)</f>
        <v>6140</v>
      </c>
      <c r="H13" s="585" t="s">
        <v>384</v>
      </c>
      <c r="I13" s="802" t="s">
        <v>384</v>
      </c>
    </row>
    <row r="14" spans="1:11" s="44" customFormat="1" x14ac:dyDescent="0.25">
      <c r="A14" s="39"/>
      <c r="B14" s="32"/>
      <c r="C14" s="11"/>
      <c r="D14" s="33" t="s">
        <v>9</v>
      </c>
      <c r="E14" s="803">
        <v>4059</v>
      </c>
      <c r="F14" s="804">
        <v>3947</v>
      </c>
      <c r="G14" s="805">
        <v>3456</v>
      </c>
      <c r="H14" s="344" t="s">
        <v>778</v>
      </c>
      <c r="I14" s="88" t="s">
        <v>779</v>
      </c>
    </row>
    <row r="15" spans="1:11" s="44" customFormat="1" x14ac:dyDescent="0.25">
      <c r="A15" s="39"/>
      <c r="B15" s="32"/>
      <c r="C15" s="11"/>
      <c r="D15" s="33" t="s">
        <v>13</v>
      </c>
      <c r="E15" s="803">
        <v>2561</v>
      </c>
      <c r="F15" s="804">
        <v>2557</v>
      </c>
      <c r="G15" s="805">
        <v>2684</v>
      </c>
      <c r="H15" s="344" t="s">
        <v>778</v>
      </c>
      <c r="I15" s="88" t="s">
        <v>779</v>
      </c>
    </row>
    <row r="16" spans="1:11" x14ac:dyDescent="0.25">
      <c r="A16" s="10"/>
      <c r="B16" s="11"/>
      <c r="C16" s="11"/>
      <c r="D16" s="47"/>
      <c r="E16" s="806"/>
      <c r="F16" s="807"/>
      <c r="G16" s="571"/>
      <c r="H16" s="585" t="s">
        <v>384</v>
      </c>
      <c r="I16" s="802" t="s">
        <v>384</v>
      </c>
    </row>
    <row r="17" spans="1:11" x14ac:dyDescent="0.25">
      <c r="A17" s="10"/>
      <c r="B17" s="11"/>
      <c r="C17" s="32" t="s">
        <v>15</v>
      </c>
      <c r="D17" s="33"/>
      <c r="E17" s="803">
        <f>SUM(E18:E19)</f>
        <v>0</v>
      </c>
      <c r="F17" s="804">
        <f>SUM(F18:F19)</f>
        <v>0</v>
      </c>
      <c r="G17" s="602">
        <f>SUM(G18:G19)</f>
        <v>0</v>
      </c>
      <c r="H17" s="585" t="s">
        <v>384</v>
      </c>
      <c r="I17" s="802" t="s">
        <v>384</v>
      </c>
    </row>
    <row r="18" spans="1:11" x14ac:dyDescent="0.25">
      <c r="A18" s="10"/>
      <c r="B18" s="11"/>
      <c r="C18" s="11"/>
      <c r="D18" s="33" t="s">
        <v>9</v>
      </c>
      <c r="E18" s="808">
        <v>0</v>
      </c>
      <c r="F18" s="809">
        <v>0</v>
      </c>
      <c r="G18" s="810">
        <v>0</v>
      </c>
      <c r="H18" s="811" t="s">
        <v>780</v>
      </c>
      <c r="I18" s="812" t="s">
        <v>781</v>
      </c>
    </row>
    <row r="19" spans="1:11" x14ac:dyDescent="0.25">
      <c r="A19" s="10"/>
      <c r="B19" s="11"/>
      <c r="C19" s="11"/>
      <c r="D19" s="33" t="s">
        <v>13</v>
      </c>
      <c r="E19" s="808">
        <v>0</v>
      </c>
      <c r="F19" s="809">
        <v>0</v>
      </c>
      <c r="G19" s="810">
        <v>0</v>
      </c>
      <c r="H19" s="811" t="s">
        <v>780</v>
      </c>
      <c r="I19" s="812" t="s">
        <v>781</v>
      </c>
    </row>
    <row r="20" spans="1:11" x14ac:dyDescent="0.25">
      <c r="A20" s="10"/>
      <c r="B20" s="11"/>
      <c r="C20" s="11"/>
      <c r="D20" s="33"/>
      <c r="E20" s="806"/>
      <c r="F20" s="807"/>
      <c r="G20" s="571"/>
      <c r="H20" s="585" t="s">
        <v>384</v>
      </c>
      <c r="I20" s="802" t="s">
        <v>384</v>
      </c>
    </row>
    <row r="21" spans="1:11" x14ac:dyDescent="0.25">
      <c r="A21" s="10"/>
      <c r="B21" s="11"/>
      <c r="C21" s="32" t="s">
        <v>16</v>
      </c>
      <c r="D21" s="33"/>
      <c r="E21" s="813">
        <f>+SUM(E22:E24)</f>
        <v>147132</v>
      </c>
      <c r="F21" s="814">
        <f>+SUM(F22:F24)</f>
        <v>144709</v>
      </c>
      <c r="G21" s="815">
        <f>+SUM(G22:G24)</f>
        <v>140675</v>
      </c>
      <c r="H21" s="585" t="s">
        <v>384</v>
      </c>
      <c r="I21" s="802" t="s">
        <v>384</v>
      </c>
    </row>
    <row r="22" spans="1:11" x14ac:dyDescent="0.25">
      <c r="A22" s="10"/>
      <c r="B22" s="11"/>
      <c r="C22" s="11"/>
      <c r="D22" s="459" t="s">
        <v>9</v>
      </c>
      <c r="E22" s="816">
        <f>SUM(E9,E14,E17)</f>
        <v>106094</v>
      </c>
      <c r="F22" s="817">
        <f>SUM(F9,F14,F17)</f>
        <v>108573</v>
      </c>
      <c r="G22" s="818">
        <f>SUM(G9,G14,G17)</f>
        <v>108809</v>
      </c>
      <c r="H22" s="344" t="s">
        <v>778</v>
      </c>
      <c r="I22" s="48" t="s">
        <v>17</v>
      </c>
    </row>
    <row r="23" spans="1:11" x14ac:dyDescent="0.25">
      <c r="A23" s="10"/>
      <c r="B23" s="11"/>
      <c r="C23" s="11"/>
      <c r="D23" s="459" t="s">
        <v>12</v>
      </c>
      <c r="E23" s="816">
        <f>E10</f>
        <v>38476</v>
      </c>
      <c r="F23" s="817">
        <f>F10</f>
        <v>33579</v>
      </c>
      <c r="G23" s="818">
        <f>G10</f>
        <v>29176</v>
      </c>
      <c r="H23" s="344" t="s">
        <v>778</v>
      </c>
      <c r="I23" s="48" t="s">
        <v>17</v>
      </c>
    </row>
    <row r="24" spans="1:11" x14ac:dyDescent="0.25">
      <c r="A24" s="10"/>
      <c r="B24" s="11"/>
      <c r="C24" s="11"/>
      <c r="D24" s="459" t="s">
        <v>13</v>
      </c>
      <c r="E24" s="816">
        <f>SUM(E11,E15,E19)</f>
        <v>2562</v>
      </c>
      <c r="F24" s="817">
        <f>SUM(F11,F15,F19)</f>
        <v>2557</v>
      </c>
      <c r="G24" s="818">
        <f>SUM(G11,G15,G19)</f>
        <v>2690</v>
      </c>
      <c r="H24" s="344" t="s">
        <v>778</v>
      </c>
      <c r="I24" s="48" t="s">
        <v>17</v>
      </c>
    </row>
    <row r="25" spans="1:11" x14ac:dyDescent="0.25">
      <c r="A25" s="10"/>
      <c r="B25" s="11"/>
      <c r="C25" s="11"/>
      <c r="D25" s="33"/>
      <c r="E25" s="803"/>
      <c r="F25" s="804"/>
      <c r="G25" s="602"/>
      <c r="H25" s="585" t="s">
        <v>384</v>
      </c>
      <c r="I25" s="37"/>
    </row>
    <row r="26" spans="1:11" x14ac:dyDescent="0.25">
      <c r="A26" s="10"/>
      <c r="B26" s="11"/>
      <c r="C26" s="32" t="s">
        <v>18</v>
      </c>
      <c r="D26" s="33"/>
      <c r="E26" s="577"/>
      <c r="F26" s="59"/>
      <c r="G26" s="36"/>
      <c r="H26" s="585" t="s">
        <v>384</v>
      </c>
      <c r="I26" s="37"/>
    </row>
    <row r="27" spans="1:11" x14ac:dyDescent="0.25">
      <c r="A27" s="10"/>
      <c r="B27" s="11"/>
      <c r="C27" s="11"/>
      <c r="D27" s="49" t="s">
        <v>19</v>
      </c>
      <c r="E27" s="813">
        <f>+SUM(E28:E30)</f>
        <v>142930</v>
      </c>
      <c r="F27" s="814">
        <f>+SUM(F28:F30)</f>
        <v>140120</v>
      </c>
      <c r="G27" s="815">
        <f>+SUM(G28:G30)</f>
        <v>136120</v>
      </c>
      <c r="H27" s="585" t="s">
        <v>384</v>
      </c>
      <c r="I27" s="37"/>
    </row>
    <row r="28" spans="1:11" x14ac:dyDescent="0.25">
      <c r="A28" s="10"/>
      <c r="B28" s="11"/>
      <c r="C28" s="11"/>
      <c r="D28" s="53" t="s">
        <v>20</v>
      </c>
      <c r="E28" s="816">
        <f>135331-E33</f>
        <v>133691</v>
      </c>
      <c r="F28" s="817">
        <f>133380-F33</f>
        <v>131348</v>
      </c>
      <c r="G28" s="818">
        <f>129506-G33</f>
        <v>127641</v>
      </c>
      <c r="H28" s="344" t="s">
        <v>782</v>
      </c>
      <c r="I28" s="43" t="s">
        <v>783</v>
      </c>
    </row>
    <row r="29" spans="1:11" x14ac:dyDescent="0.25">
      <c r="A29" s="10"/>
      <c r="B29" s="11"/>
      <c r="C29" s="11"/>
      <c r="D29" s="53" t="s">
        <v>22</v>
      </c>
      <c r="E29" s="816">
        <v>1289</v>
      </c>
      <c r="F29" s="817">
        <v>1800</v>
      </c>
      <c r="G29" s="818">
        <v>1629</v>
      </c>
      <c r="H29" s="344" t="s">
        <v>782</v>
      </c>
      <c r="I29" s="43" t="s">
        <v>783</v>
      </c>
      <c r="J29" s="345"/>
    </row>
    <row r="30" spans="1:11" x14ac:dyDescent="0.25">
      <c r="A30" s="10"/>
      <c r="B30" s="11"/>
      <c r="C30" s="11"/>
      <c r="D30" s="53" t="s">
        <v>23</v>
      </c>
      <c r="E30" s="816">
        <v>7950</v>
      </c>
      <c r="F30" s="817">
        <v>6972</v>
      </c>
      <c r="G30" s="818">
        <v>6850</v>
      </c>
      <c r="H30" s="344" t="s">
        <v>782</v>
      </c>
      <c r="I30" s="43" t="s">
        <v>783</v>
      </c>
      <c r="J30" s="345"/>
      <c r="K30" s="127"/>
    </row>
    <row r="31" spans="1:11" x14ac:dyDescent="0.25">
      <c r="A31" s="10"/>
      <c r="B31" s="11"/>
      <c r="C31" s="11"/>
      <c r="D31" s="49" t="s">
        <v>24</v>
      </c>
      <c r="E31" s="803">
        <f>225+2</f>
        <v>227</v>
      </c>
      <c r="F31" s="804">
        <v>219</v>
      </c>
      <c r="G31" s="805">
        <v>202</v>
      </c>
      <c r="H31" s="344" t="s">
        <v>784</v>
      </c>
      <c r="I31" s="344" t="s">
        <v>785</v>
      </c>
    </row>
    <row r="32" spans="1:11" x14ac:dyDescent="0.25">
      <c r="A32" s="10"/>
      <c r="B32" s="11"/>
      <c r="C32" s="11"/>
      <c r="D32" s="49" t="s">
        <v>25</v>
      </c>
      <c r="E32" s="813">
        <f>+SUM(E33:E34)</f>
        <v>1640</v>
      </c>
      <c r="F32" s="814">
        <f>+SUM(F33:F34)</f>
        <v>2032</v>
      </c>
      <c r="G32" s="815">
        <f>+SUM(G33:G34)</f>
        <v>1865</v>
      </c>
      <c r="H32" s="585"/>
      <c r="I32" s="37"/>
    </row>
    <row r="33" spans="1:13" x14ac:dyDescent="0.25">
      <c r="A33" s="10"/>
      <c r="B33" s="11"/>
      <c r="C33" s="11"/>
      <c r="D33" s="53" t="s">
        <v>20</v>
      </c>
      <c r="E33" s="816">
        <v>1640</v>
      </c>
      <c r="F33" s="817">
        <v>2032</v>
      </c>
      <c r="G33" s="818">
        <v>1865</v>
      </c>
      <c r="H33" s="344" t="s">
        <v>786</v>
      </c>
      <c r="I33" s="43" t="s">
        <v>787</v>
      </c>
    </row>
    <row r="34" spans="1:13" x14ac:dyDescent="0.25">
      <c r="A34" s="10"/>
      <c r="B34" s="11"/>
      <c r="C34" s="11"/>
      <c r="D34" s="53" t="s">
        <v>22</v>
      </c>
      <c r="E34" s="819">
        <v>0</v>
      </c>
      <c r="F34" s="820">
        <v>0</v>
      </c>
      <c r="G34" s="821">
        <v>0</v>
      </c>
      <c r="H34" s="344" t="s">
        <v>786</v>
      </c>
      <c r="I34" s="43" t="s">
        <v>787</v>
      </c>
    </row>
    <row r="35" spans="1:13" x14ac:dyDescent="0.25">
      <c r="A35" s="10"/>
      <c r="B35" s="11"/>
      <c r="C35" s="11"/>
      <c r="D35" s="49" t="s">
        <v>26</v>
      </c>
      <c r="E35" s="813">
        <f>+SUM(E36:E37)</f>
        <v>2335</v>
      </c>
      <c r="F35" s="814">
        <f>+SUM(F36:F37)</f>
        <v>2338</v>
      </c>
      <c r="G35" s="815">
        <f>+SUM(G36:G37)</f>
        <v>2488</v>
      </c>
      <c r="H35" s="585"/>
      <c r="I35" s="37"/>
    </row>
    <row r="36" spans="1:13" x14ac:dyDescent="0.25">
      <c r="A36" s="10"/>
      <c r="B36" s="11"/>
      <c r="C36" s="11"/>
      <c r="D36" s="53" t="s">
        <v>20</v>
      </c>
      <c r="E36" s="816">
        <v>2295</v>
      </c>
      <c r="F36" s="817">
        <v>2295</v>
      </c>
      <c r="G36" s="818">
        <v>2421</v>
      </c>
      <c r="H36" s="344" t="s">
        <v>784</v>
      </c>
      <c r="I36" s="43" t="s">
        <v>785</v>
      </c>
    </row>
    <row r="37" spans="1:13" x14ac:dyDescent="0.25">
      <c r="A37" s="10"/>
      <c r="B37" s="11"/>
      <c r="C37" s="11"/>
      <c r="D37" s="53" t="s">
        <v>22</v>
      </c>
      <c r="E37" s="816">
        <v>40</v>
      </c>
      <c r="F37" s="817">
        <v>43</v>
      </c>
      <c r="G37" s="818">
        <v>67</v>
      </c>
      <c r="H37" s="344" t="s">
        <v>784</v>
      </c>
      <c r="I37" s="43" t="s">
        <v>785</v>
      </c>
    </row>
    <row r="38" spans="1:13" x14ac:dyDescent="0.25">
      <c r="A38" s="10"/>
      <c r="B38" s="11"/>
      <c r="C38" s="11"/>
      <c r="D38" s="49" t="s">
        <v>27</v>
      </c>
      <c r="E38" s="803"/>
      <c r="F38" s="804">
        <v>0</v>
      </c>
      <c r="G38" s="602">
        <v>0</v>
      </c>
      <c r="H38" s="74"/>
      <c r="I38" s="37"/>
    </row>
    <row r="39" spans="1:13" x14ac:dyDescent="0.25">
      <c r="A39" s="10"/>
      <c r="B39" s="11"/>
      <c r="C39" s="11"/>
      <c r="D39" s="49" t="s">
        <v>30</v>
      </c>
      <c r="E39" s="803"/>
      <c r="F39" s="804">
        <v>0</v>
      </c>
      <c r="G39" s="602">
        <v>0</v>
      </c>
      <c r="H39" s="74"/>
      <c r="I39" s="37"/>
    </row>
    <row r="40" spans="1:13" ht="15.75" thickBot="1" x14ac:dyDescent="0.3">
      <c r="A40" s="10"/>
      <c r="B40" s="11"/>
      <c r="C40" s="11"/>
      <c r="D40" s="33"/>
      <c r="E40" s="822">
        <f>E27+E31+E32+E38+E39+E35</f>
        <v>147132</v>
      </c>
      <c r="F40" s="823">
        <f>F27+F31+F32+F38+F39+F35</f>
        <v>144709</v>
      </c>
      <c r="G40" s="824">
        <f>G27+G31+G32+G38+G39+G35</f>
        <v>140675</v>
      </c>
      <c r="H40" s="74"/>
      <c r="I40" s="37"/>
    </row>
    <row r="41" spans="1:13" ht="15.75" thickTop="1" x14ac:dyDescent="0.25">
      <c r="A41" s="10"/>
      <c r="B41" s="11"/>
      <c r="C41" s="11"/>
      <c r="D41" s="33"/>
      <c r="E41" s="825" t="b">
        <f>E21=(E40-E38-E39)</f>
        <v>1</v>
      </c>
      <c r="F41" s="826" t="b">
        <f>F21=(F40-F38-F39)</f>
        <v>1</v>
      </c>
      <c r="G41" s="673" t="b">
        <f>G21=(G40-G38-G39)</f>
        <v>1</v>
      </c>
      <c r="H41" s="74"/>
      <c r="I41" s="37"/>
    </row>
    <row r="42" spans="1:13" x14ac:dyDescent="0.25">
      <c r="A42" s="10"/>
      <c r="B42" s="11"/>
      <c r="C42" s="11"/>
      <c r="D42" s="49" t="s">
        <v>34</v>
      </c>
      <c r="E42" s="827"/>
      <c r="F42" s="828"/>
      <c r="G42" s="77"/>
      <c r="H42" s="829"/>
      <c r="I42" s="74"/>
    </row>
    <row r="43" spans="1:13" x14ac:dyDescent="0.25">
      <c r="A43" s="10"/>
      <c r="B43" s="11"/>
      <c r="C43" s="11"/>
      <c r="D43" s="33" t="s">
        <v>35</v>
      </c>
      <c r="E43" s="827">
        <f>+SUM(E44:E46)</f>
        <v>138982</v>
      </c>
      <c r="F43" s="828">
        <f>+SUM(F44:F46)</f>
        <v>136414</v>
      </c>
      <c r="G43" s="77">
        <f>+SUM(G44:G46)</f>
        <v>132763</v>
      </c>
      <c r="H43" s="829"/>
      <c r="I43" s="74"/>
      <c r="K43" s="830">
        <f>E43/SUM(E$43,E$47)</f>
        <v>0.98911828967127124</v>
      </c>
      <c r="L43" s="830">
        <f>F43/SUM(F$43,F$47)</f>
        <v>0.98704098983394228</v>
      </c>
      <c r="M43" s="830">
        <f>G43/SUM(G$43,G$47)</f>
        <v>0.98687271889332406</v>
      </c>
    </row>
    <row r="44" spans="1:13" x14ac:dyDescent="0.25">
      <c r="A44" s="10"/>
      <c r="B44" s="11"/>
      <c r="C44" s="11"/>
      <c r="D44" s="53" t="s">
        <v>20</v>
      </c>
      <c r="E44" s="831">
        <f>135331-E52-E48-E56</f>
        <v>130408</v>
      </c>
      <c r="F44" s="832">
        <f>139799+321-F45-F46-F52-F53-F54</f>
        <v>128267</v>
      </c>
      <c r="G44" s="83">
        <f>136008+112-G45-G46-G52-G53-G54</f>
        <v>124788</v>
      </c>
      <c r="H44" s="829"/>
      <c r="I44" s="74"/>
      <c r="K44" s="830"/>
      <c r="L44" s="830"/>
      <c r="M44" s="830"/>
    </row>
    <row r="45" spans="1:13" x14ac:dyDescent="0.25">
      <c r="A45" s="10"/>
      <c r="B45" s="11"/>
      <c r="C45" s="11"/>
      <c r="D45" s="53" t="s">
        <v>22</v>
      </c>
      <c r="E45" s="831">
        <f>1289-E53</f>
        <v>1142</v>
      </c>
      <c r="F45" s="832">
        <f>1800-F53</f>
        <v>1670</v>
      </c>
      <c r="G45" s="83">
        <f>1629-G53</f>
        <v>1480</v>
      </c>
      <c r="H45" s="829"/>
      <c r="I45" s="74"/>
      <c r="K45" s="830"/>
      <c r="L45" s="830"/>
      <c r="M45" s="830"/>
    </row>
    <row r="46" spans="1:13" x14ac:dyDescent="0.25">
      <c r="A46" s="10"/>
      <c r="B46" s="11"/>
      <c r="C46" s="11"/>
      <c r="D46" s="53" t="s">
        <v>23</v>
      </c>
      <c r="E46" s="831">
        <f>7950-E54</f>
        <v>7432</v>
      </c>
      <c r="F46" s="832">
        <f>6972-F54</f>
        <v>6477</v>
      </c>
      <c r="G46" s="83">
        <f>6850-G54</f>
        <v>6495</v>
      </c>
      <c r="H46" s="829"/>
      <c r="I46" s="74"/>
      <c r="K46" s="830"/>
      <c r="L46" s="830"/>
      <c r="M46" s="830"/>
    </row>
    <row r="47" spans="1:13" x14ac:dyDescent="0.25">
      <c r="A47" s="10"/>
      <c r="B47" s="11"/>
      <c r="C47" s="11"/>
      <c r="D47" s="33" t="s">
        <v>41</v>
      </c>
      <c r="E47" s="827">
        <f>+SUM(E48:E49)</f>
        <v>1529</v>
      </c>
      <c r="F47" s="828">
        <f>+SUM(F48:F49)</f>
        <v>1791</v>
      </c>
      <c r="G47" s="77">
        <f>+SUM(G48:G49)</f>
        <v>1766</v>
      </c>
      <c r="H47" s="829"/>
      <c r="I47" s="74"/>
      <c r="K47" s="830">
        <f>E47/SUM(E$43,E$47)</f>
        <v>1.0881710328728712E-2</v>
      </c>
      <c r="L47" s="830">
        <f>F47/SUM(F$43,F$47)</f>
        <v>1.2959010166057668E-2</v>
      </c>
      <c r="M47" s="830">
        <f>G47/SUM(G$43,G$47)</f>
        <v>1.3127281106675884E-2</v>
      </c>
    </row>
    <row r="48" spans="1:13" x14ac:dyDescent="0.25">
      <c r="A48" s="10"/>
      <c r="B48" s="11"/>
      <c r="C48" s="11"/>
      <c r="D48" s="53" t="s">
        <v>20</v>
      </c>
      <c r="E48" s="831">
        <f>1640-E56</f>
        <v>1529</v>
      </c>
      <c r="F48" s="832">
        <f>2032-F56</f>
        <v>1791</v>
      </c>
      <c r="G48" s="83">
        <f>1865-G56</f>
        <v>1766</v>
      </c>
      <c r="H48" s="829"/>
      <c r="I48" s="74"/>
    </row>
    <row r="49" spans="1:13" x14ac:dyDescent="0.25">
      <c r="A49" s="10"/>
      <c r="B49" s="11"/>
      <c r="C49" s="11"/>
      <c r="D49" s="53" t="s">
        <v>22</v>
      </c>
      <c r="E49" s="831">
        <v>0</v>
      </c>
      <c r="F49" s="832">
        <v>0</v>
      </c>
      <c r="G49" s="83">
        <v>0</v>
      </c>
      <c r="H49" s="829"/>
      <c r="I49" s="74"/>
    </row>
    <row r="50" spans="1:13" x14ac:dyDescent="0.25">
      <c r="A50" s="10"/>
      <c r="B50" s="11"/>
      <c r="C50" s="11"/>
      <c r="D50" s="49" t="s">
        <v>43</v>
      </c>
      <c r="E50" s="833"/>
      <c r="F50" s="221"/>
      <c r="G50" s="86"/>
      <c r="H50" s="829"/>
      <c r="I50" s="74"/>
    </row>
    <row r="51" spans="1:13" x14ac:dyDescent="0.25">
      <c r="A51" s="10"/>
      <c r="B51" s="11"/>
      <c r="C51" s="11"/>
      <c r="D51" s="33" t="s">
        <v>35</v>
      </c>
      <c r="E51" s="827">
        <f>+SUM(E52:E54)</f>
        <v>3948</v>
      </c>
      <c r="F51" s="828">
        <f>+SUM(F52:F54)</f>
        <v>3706</v>
      </c>
      <c r="G51" s="77">
        <f>+SUM(G52:G54)</f>
        <v>3357</v>
      </c>
      <c r="H51" s="829"/>
      <c r="I51" s="74"/>
      <c r="K51" s="830">
        <f>E51/SUM(E$51,E$55)</f>
        <v>0.97265336289726534</v>
      </c>
      <c r="L51" s="830">
        <f>F51/SUM(F$51,F$55)</f>
        <v>0.93894096782366354</v>
      </c>
      <c r="M51" s="830">
        <f>G51/SUM(G$51,G$55)</f>
        <v>0.97135416666666663</v>
      </c>
    </row>
    <row r="52" spans="1:13" x14ac:dyDescent="0.25">
      <c r="A52" s="10"/>
      <c r="B52" s="11"/>
      <c r="C52" s="11"/>
      <c r="D52" s="53" t="s">
        <v>20</v>
      </c>
      <c r="E52" s="831">
        <f>3948-E53-E54</f>
        <v>3283</v>
      </c>
      <c r="F52" s="832">
        <f>3706-F53-F54</f>
        <v>3081</v>
      </c>
      <c r="G52" s="83">
        <f>3357-G53-G54</f>
        <v>2853</v>
      </c>
      <c r="H52" s="829"/>
      <c r="I52" s="74"/>
      <c r="K52" s="830"/>
      <c r="L52" s="830"/>
      <c r="M52" s="830"/>
    </row>
    <row r="53" spans="1:13" x14ac:dyDescent="0.25">
      <c r="A53" s="10"/>
      <c r="B53" s="11"/>
      <c r="C53" s="11"/>
      <c r="D53" s="53" t="s">
        <v>22</v>
      </c>
      <c r="E53" s="831">
        <v>147</v>
      </c>
      <c r="F53" s="832">
        <v>130</v>
      </c>
      <c r="G53" s="83">
        <v>149</v>
      </c>
      <c r="H53" s="829"/>
      <c r="I53" s="74"/>
      <c r="K53" s="830"/>
      <c r="L53" s="830"/>
      <c r="M53" s="830"/>
    </row>
    <row r="54" spans="1:13" x14ac:dyDescent="0.25">
      <c r="A54" s="10"/>
      <c r="B54" s="11"/>
      <c r="C54" s="11"/>
      <c r="D54" s="53" t="s">
        <v>23</v>
      </c>
      <c r="E54" s="831">
        <v>518</v>
      </c>
      <c r="F54" s="832">
        <v>495</v>
      </c>
      <c r="G54" s="83">
        <v>355</v>
      </c>
      <c r="H54" s="829"/>
      <c r="I54" s="74"/>
      <c r="K54" s="830"/>
      <c r="L54" s="830"/>
      <c r="M54" s="830"/>
    </row>
    <row r="55" spans="1:13" x14ac:dyDescent="0.25">
      <c r="A55" s="10"/>
      <c r="B55" s="11"/>
      <c r="C55" s="11"/>
      <c r="D55" s="33" t="s">
        <v>41</v>
      </c>
      <c r="E55" s="827">
        <f>+SUM(E56:E57)</f>
        <v>111</v>
      </c>
      <c r="F55" s="828">
        <f>+SUM(F56:F57)</f>
        <v>241</v>
      </c>
      <c r="G55" s="77">
        <f>+SUM(G56:G57)</f>
        <v>99</v>
      </c>
      <c r="H55" s="829"/>
      <c r="I55" s="74"/>
      <c r="K55" s="830">
        <f>E55/SUM(E$51,E$55)</f>
        <v>2.7346637102734665E-2</v>
      </c>
      <c r="L55" s="830">
        <f>F55/SUM(F$51,F$55)</f>
        <v>6.1059032176336459E-2</v>
      </c>
      <c r="M55" s="830">
        <f>G55/SUM(G$51,G$55)</f>
        <v>2.8645833333333332E-2</v>
      </c>
    </row>
    <row r="56" spans="1:13" x14ac:dyDescent="0.25">
      <c r="A56" s="10"/>
      <c r="B56" s="11"/>
      <c r="C56" s="11"/>
      <c r="D56" s="53" t="s">
        <v>20</v>
      </c>
      <c r="E56" s="831">
        <v>111</v>
      </c>
      <c r="F56" s="834">
        <v>241</v>
      </c>
      <c r="G56" s="835">
        <v>99</v>
      </c>
      <c r="H56" s="829"/>
      <c r="I56" s="74"/>
    </row>
    <row r="57" spans="1:13" x14ac:dyDescent="0.25">
      <c r="A57" s="10"/>
      <c r="B57" s="11"/>
      <c r="C57" s="11"/>
      <c r="D57" s="53" t="s">
        <v>22</v>
      </c>
      <c r="E57" s="831">
        <v>0</v>
      </c>
      <c r="F57" s="834">
        <v>0</v>
      </c>
      <c r="G57" s="835">
        <v>0</v>
      </c>
      <c r="H57" s="829"/>
      <c r="I57" s="74"/>
    </row>
    <row r="58" spans="1:13" x14ac:dyDescent="0.25">
      <c r="A58" s="10"/>
      <c r="B58" s="11"/>
      <c r="C58" s="11"/>
      <c r="D58" s="49" t="s">
        <v>52</v>
      </c>
      <c r="E58" s="833"/>
      <c r="F58" s="221"/>
      <c r="G58" s="86"/>
      <c r="H58" s="829"/>
      <c r="I58" s="74"/>
    </row>
    <row r="59" spans="1:13" x14ac:dyDescent="0.25">
      <c r="A59" s="10"/>
      <c r="B59" s="11"/>
      <c r="C59" s="11"/>
      <c r="D59" s="33" t="s">
        <v>35</v>
      </c>
      <c r="E59" s="836">
        <f>+E31</f>
        <v>227</v>
      </c>
      <c r="F59" s="837">
        <f>+F31</f>
        <v>219</v>
      </c>
      <c r="G59" s="838">
        <f>+G31</f>
        <v>202</v>
      </c>
      <c r="H59" s="839" t="s">
        <v>21</v>
      </c>
      <c r="I59" s="839" t="s">
        <v>21</v>
      </c>
      <c r="K59" s="830">
        <f>E59/SUM($E$59:$E$60)</f>
        <v>8.8602654176424669E-2</v>
      </c>
      <c r="L59" s="830">
        <f>F59/SUM($F$59:$F$60)</f>
        <v>8.5647242862729761E-2</v>
      </c>
      <c r="M59" s="830">
        <f>G59/SUM($G$59:$G$60)</f>
        <v>7.5092936802973978E-2</v>
      </c>
    </row>
    <row r="60" spans="1:13" x14ac:dyDescent="0.25">
      <c r="A60" s="10"/>
      <c r="B60" s="11"/>
      <c r="C60" s="11"/>
      <c r="D60" s="33" t="s">
        <v>41</v>
      </c>
      <c r="E60" s="836">
        <f>+SUM(E61:E62)</f>
        <v>2335</v>
      </c>
      <c r="F60" s="837">
        <f>+SUM(F61:F62)</f>
        <v>2338</v>
      </c>
      <c r="G60" s="838">
        <f>+SUM(G61:G62)</f>
        <v>2488</v>
      </c>
      <c r="H60" s="839" t="s">
        <v>21</v>
      </c>
      <c r="I60" s="839" t="s">
        <v>21</v>
      </c>
      <c r="K60" s="830">
        <f>E60/SUM($E$59:$E$60)</f>
        <v>0.91139734582357534</v>
      </c>
      <c r="L60" s="830">
        <f>F60/SUM($F$59:$F$60)</f>
        <v>0.91435275713727027</v>
      </c>
      <c r="M60" s="830">
        <f>G60/SUM($G$59:$G$60)</f>
        <v>0.92490706319702598</v>
      </c>
    </row>
    <row r="61" spans="1:13" x14ac:dyDescent="0.25">
      <c r="A61" s="10"/>
      <c r="B61" s="11"/>
      <c r="C61" s="11"/>
      <c r="D61" s="53" t="s">
        <v>20</v>
      </c>
      <c r="E61" s="816">
        <f t="shared" ref="E61:G62" si="0">+E36</f>
        <v>2295</v>
      </c>
      <c r="F61" s="817">
        <f t="shared" si="0"/>
        <v>2295</v>
      </c>
      <c r="G61" s="818">
        <f t="shared" si="0"/>
        <v>2421</v>
      </c>
      <c r="H61" s="839" t="s">
        <v>21</v>
      </c>
      <c r="I61" s="839" t="s">
        <v>21</v>
      </c>
    </row>
    <row r="62" spans="1:13" x14ac:dyDescent="0.25">
      <c r="A62" s="10"/>
      <c r="B62" s="11"/>
      <c r="C62" s="11"/>
      <c r="D62" s="53" t="s">
        <v>22</v>
      </c>
      <c r="E62" s="816">
        <f t="shared" si="0"/>
        <v>40</v>
      </c>
      <c r="F62" s="817">
        <f t="shared" si="0"/>
        <v>43</v>
      </c>
      <c r="G62" s="818">
        <f t="shared" si="0"/>
        <v>67</v>
      </c>
      <c r="H62" s="839" t="s">
        <v>21</v>
      </c>
      <c r="I62" s="839" t="s">
        <v>21</v>
      </c>
    </row>
    <row r="63" spans="1:13" x14ac:dyDescent="0.25">
      <c r="A63" s="10"/>
      <c r="B63" s="11"/>
      <c r="C63" s="11"/>
      <c r="D63" s="33"/>
      <c r="E63" s="840"/>
      <c r="F63" s="841"/>
      <c r="G63" s="638"/>
      <c r="H63" s="829"/>
      <c r="I63" s="37"/>
    </row>
    <row r="64" spans="1:13" x14ac:dyDescent="0.25">
      <c r="A64" s="10"/>
      <c r="B64" s="11"/>
      <c r="C64" s="32" t="s">
        <v>58</v>
      </c>
      <c r="D64" s="33"/>
      <c r="E64" s="806"/>
      <c r="F64" s="807"/>
      <c r="G64" s="571"/>
      <c r="H64" s="829"/>
      <c r="I64" s="37"/>
    </row>
    <row r="65" spans="1:9" x14ac:dyDescent="0.25">
      <c r="A65" s="10"/>
      <c r="B65" s="11"/>
      <c r="C65" s="457"/>
      <c r="D65" s="33" t="s">
        <v>9</v>
      </c>
      <c r="E65" s="842">
        <v>391</v>
      </c>
      <c r="F65" s="843">
        <v>320</v>
      </c>
      <c r="G65" s="844">
        <v>256</v>
      </c>
      <c r="H65" s="344" t="s">
        <v>788</v>
      </c>
      <c r="I65" s="451" t="s">
        <v>789</v>
      </c>
    </row>
    <row r="66" spans="1:9" x14ac:dyDescent="0.25">
      <c r="A66" s="10"/>
      <c r="B66" s="11"/>
      <c r="C66" s="457"/>
      <c r="D66" s="33" t="s">
        <v>13</v>
      </c>
      <c r="E66" s="842">
        <v>0</v>
      </c>
      <c r="F66" s="843">
        <v>0</v>
      </c>
      <c r="G66" s="844">
        <v>1</v>
      </c>
      <c r="H66" s="344" t="s">
        <v>788</v>
      </c>
      <c r="I66" s="451" t="s">
        <v>789</v>
      </c>
    </row>
    <row r="67" spans="1:9" x14ac:dyDescent="0.25">
      <c r="A67" s="10"/>
      <c r="B67" s="11"/>
      <c r="C67" s="11"/>
      <c r="D67" s="33"/>
      <c r="E67" s="806"/>
      <c r="F67" s="807"/>
      <c r="G67" s="598"/>
      <c r="H67" s="585"/>
      <c r="I67" s="37"/>
    </row>
    <row r="68" spans="1:9" x14ac:dyDescent="0.25">
      <c r="A68" s="10"/>
      <c r="B68" s="11"/>
      <c r="C68" s="32" t="s">
        <v>60</v>
      </c>
      <c r="D68" s="33"/>
      <c r="E68" s="806"/>
      <c r="F68" s="807"/>
      <c r="G68" s="598"/>
      <c r="H68" s="585"/>
      <c r="I68" s="37"/>
    </row>
    <row r="69" spans="1:9" x14ac:dyDescent="0.25">
      <c r="A69" s="10"/>
      <c r="B69" s="11"/>
      <c r="C69" s="457"/>
      <c r="D69" s="33" t="s">
        <v>9</v>
      </c>
      <c r="E69" s="842">
        <v>15</v>
      </c>
      <c r="F69" s="843">
        <v>26</v>
      </c>
      <c r="G69" s="844">
        <v>65</v>
      </c>
      <c r="H69" s="344" t="s">
        <v>788</v>
      </c>
      <c r="I69" s="451" t="s">
        <v>789</v>
      </c>
    </row>
    <row r="70" spans="1:9" x14ac:dyDescent="0.25">
      <c r="A70" s="10"/>
      <c r="B70" s="11"/>
      <c r="C70" s="457"/>
      <c r="D70" s="33" t="s">
        <v>13</v>
      </c>
      <c r="E70" s="842">
        <v>162</v>
      </c>
      <c r="F70" s="843">
        <v>243</v>
      </c>
      <c r="G70" s="844">
        <v>292</v>
      </c>
      <c r="H70" s="344" t="s">
        <v>788</v>
      </c>
      <c r="I70" s="451" t="s">
        <v>789</v>
      </c>
    </row>
    <row r="71" spans="1:9" x14ac:dyDescent="0.25">
      <c r="A71" s="10"/>
      <c r="B71" s="11"/>
      <c r="C71" s="11"/>
      <c r="D71" s="33"/>
      <c r="E71" s="806"/>
      <c r="F71" s="807"/>
      <c r="G71" s="598"/>
      <c r="H71" s="585"/>
      <c r="I71" s="37"/>
    </row>
    <row r="72" spans="1:9" x14ac:dyDescent="0.25">
      <c r="A72" s="10"/>
      <c r="B72" s="11"/>
      <c r="C72" s="32" t="s">
        <v>61</v>
      </c>
      <c r="D72" s="33"/>
      <c r="E72" s="806"/>
      <c r="F72" s="807"/>
      <c r="G72" s="598"/>
      <c r="H72" s="585"/>
      <c r="I72" s="37"/>
    </row>
    <row r="73" spans="1:9" x14ac:dyDescent="0.25">
      <c r="A73" s="10"/>
      <c r="B73" s="11"/>
      <c r="C73" s="457"/>
      <c r="D73" s="33" t="s">
        <v>9</v>
      </c>
      <c r="E73" s="806">
        <v>0</v>
      </c>
      <c r="F73" s="807">
        <v>0</v>
      </c>
      <c r="G73" s="598">
        <v>0</v>
      </c>
      <c r="H73" s="811" t="s">
        <v>780</v>
      </c>
      <c r="I73" s="811" t="s">
        <v>780</v>
      </c>
    </row>
    <row r="74" spans="1:9" x14ac:dyDescent="0.25">
      <c r="A74" s="10"/>
      <c r="B74" s="11"/>
      <c r="C74" s="457"/>
      <c r="D74" s="33" t="s">
        <v>13</v>
      </c>
      <c r="E74" s="806">
        <v>0</v>
      </c>
      <c r="F74" s="807">
        <v>0</v>
      </c>
      <c r="G74" s="598">
        <v>0</v>
      </c>
      <c r="H74" s="811" t="s">
        <v>780</v>
      </c>
      <c r="I74" s="811" t="s">
        <v>780</v>
      </c>
    </row>
    <row r="75" spans="1:9" x14ac:dyDescent="0.25">
      <c r="A75" s="10"/>
      <c r="B75" s="11"/>
      <c r="C75" s="11"/>
      <c r="D75" s="33"/>
      <c r="E75" s="806"/>
      <c r="F75" s="807"/>
      <c r="G75" s="598"/>
      <c r="H75" s="585"/>
      <c r="I75" s="37"/>
    </row>
    <row r="76" spans="1:9" x14ac:dyDescent="0.25">
      <c r="A76" s="10"/>
      <c r="B76" s="11"/>
      <c r="C76" s="32" t="s">
        <v>62</v>
      </c>
      <c r="D76" s="33"/>
      <c r="E76" s="803">
        <f>+SUM(E77:E78)</f>
        <v>568</v>
      </c>
      <c r="F76" s="804">
        <f>+SUM(F77:F78)</f>
        <v>589</v>
      </c>
      <c r="G76" s="845">
        <f>+SUM(G77:G78)</f>
        <v>614</v>
      </c>
      <c r="H76" s="575" t="s">
        <v>17</v>
      </c>
      <c r="I76" s="48" t="s">
        <v>17</v>
      </c>
    </row>
    <row r="77" spans="1:9" x14ac:dyDescent="0.25">
      <c r="A77" s="10"/>
      <c r="B77" s="11"/>
      <c r="C77" s="458"/>
      <c r="D77" s="459" t="s">
        <v>9</v>
      </c>
      <c r="E77" s="799">
        <f t="shared" ref="E77:G78" si="1">SUM(E65,E69,E73)</f>
        <v>406</v>
      </c>
      <c r="F77" s="800">
        <f t="shared" si="1"/>
        <v>346</v>
      </c>
      <c r="G77" s="801">
        <f t="shared" si="1"/>
        <v>321</v>
      </c>
      <c r="H77" s="575" t="s">
        <v>17</v>
      </c>
      <c r="I77" s="48" t="s">
        <v>17</v>
      </c>
    </row>
    <row r="78" spans="1:9" x14ac:dyDescent="0.25">
      <c r="A78" s="10"/>
      <c r="B78" s="11"/>
      <c r="C78" s="458"/>
      <c r="D78" s="459" t="s">
        <v>13</v>
      </c>
      <c r="E78" s="799">
        <f t="shared" si="1"/>
        <v>162</v>
      </c>
      <c r="F78" s="800">
        <f t="shared" si="1"/>
        <v>243</v>
      </c>
      <c r="G78" s="801">
        <f t="shared" si="1"/>
        <v>293</v>
      </c>
      <c r="H78" s="575" t="s">
        <v>17</v>
      </c>
      <c r="I78" s="48" t="s">
        <v>17</v>
      </c>
    </row>
    <row r="79" spans="1:9" x14ac:dyDescent="0.25">
      <c r="A79" s="10"/>
      <c r="B79" s="11"/>
      <c r="C79" s="11"/>
      <c r="D79" s="33"/>
      <c r="E79" s="846"/>
      <c r="F79" s="847"/>
      <c r="G79" s="606"/>
      <c r="H79" s="585"/>
      <c r="I79" s="37"/>
    </row>
    <row r="80" spans="1:9" x14ac:dyDescent="0.25">
      <c r="A80" s="10"/>
      <c r="B80" s="25" t="s">
        <v>63</v>
      </c>
      <c r="C80" s="26"/>
      <c r="D80" s="27"/>
      <c r="E80" s="797"/>
      <c r="F80" s="798"/>
      <c r="G80" s="557"/>
      <c r="H80" s="557"/>
      <c r="I80" s="31"/>
    </row>
    <row r="81" spans="1:9" x14ac:dyDescent="0.25">
      <c r="A81" s="10"/>
      <c r="B81" s="11"/>
      <c r="C81" s="11"/>
      <c r="D81" s="33"/>
      <c r="E81" s="846"/>
      <c r="F81" s="847"/>
      <c r="G81" s="606"/>
      <c r="H81" s="606"/>
      <c r="I81" s="103"/>
    </row>
    <row r="82" spans="1:9" x14ac:dyDescent="0.25">
      <c r="A82" s="10"/>
      <c r="B82" s="11"/>
      <c r="C82" s="104" t="s">
        <v>64</v>
      </c>
      <c r="D82" s="105"/>
      <c r="E82" s="848"/>
      <c r="F82" s="849"/>
      <c r="G82" s="612"/>
      <c r="H82" s="612"/>
      <c r="I82" s="109"/>
    </row>
    <row r="83" spans="1:9" s="44" customFormat="1" x14ac:dyDescent="0.25">
      <c r="A83" s="39"/>
      <c r="B83" s="32"/>
      <c r="C83" s="32"/>
      <c r="D83" s="110" t="s">
        <v>65</v>
      </c>
      <c r="E83" s="850">
        <v>1455</v>
      </c>
      <c r="F83" s="851">
        <v>1200</v>
      </c>
      <c r="G83" s="614">
        <v>1152</v>
      </c>
      <c r="H83" s="614" t="s">
        <v>790</v>
      </c>
      <c r="I83" s="615"/>
    </row>
    <row r="84" spans="1:9" x14ac:dyDescent="0.25">
      <c r="A84" s="10"/>
      <c r="B84" s="115"/>
      <c r="C84" s="115"/>
      <c r="D84" s="116" t="s">
        <v>68</v>
      </c>
      <c r="E84" s="852">
        <v>857</v>
      </c>
      <c r="F84" s="853">
        <v>778</v>
      </c>
      <c r="G84" s="619">
        <v>774</v>
      </c>
      <c r="H84" s="344" t="s">
        <v>791</v>
      </c>
      <c r="I84" s="451" t="s">
        <v>791</v>
      </c>
    </row>
    <row r="85" spans="1:9" x14ac:dyDescent="0.25">
      <c r="A85" s="10"/>
      <c r="B85" s="11"/>
      <c r="C85" s="11"/>
      <c r="D85" s="116" t="s">
        <v>70</v>
      </c>
      <c r="E85" s="852">
        <v>134</v>
      </c>
      <c r="F85" s="853">
        <v>168</v>
      </c>
      <c r="G85" s="619">
        <v>181</v>
      </c>
      <c r="H85" s="344" t="s">
        <v>791</v>
      </c>
      <c r="I85" s="451" t="s">
        <v>791</v>
      </c>
    </row>
    <row r="86" spans="1:9" x14ac:dyDescent="0.25">
      <c r="A86" s="10"/>
      <c r="B86" s="11"/>
      <c r="C86" s="11"/>
      <c r="D86" s="116" t="s">
        <v>71</v>
      </c>
      <c r="E86" s="852">
        <f>+SUM(E87:E92)</f>
        <v>27</v>
      </c>
      <c r="F86" s="853">
        <f>+SUM(F87:F92)</f>
        <v>-235</v>
      </c>
      <c r="G86" s="619">
        <f>+SUM(G87:G92)</f>
        <v>-112</v>
      </c>
      <c r="H86" s="222"/>
      <c r="I86" s="222"/>
    </row>
    <row r="87" spans="1:9" x14ac:dyDescent="0.25">
      <c r="A87" s="10"/>
      <c r="B87" s="11"/>
      <c r="C87" s="11"/>
      <c r="D87" s="121" t="s">
        <v>72</v>
      </c>
      <c r="E87" s="854">
        <v>-51</v>
      </c>
      <c r="F87" s="855">
        <v>-37</v>
      </c>
      <c r="G87" s="625">
        <v>-51</v>
      </c>
      <c r="H87" s="344" t="s">
        <v>792</v>
      </c>
      <c r="I87" s="451" t="s">
        <v>793</v>
      </c>
    </row>
    <row r="88" spans="1:9" x14ac:dyDescent="0.25">
      <c r="A88" s="10"/>
      <c r="B88" s="11"/>
      <c r="C88" s="11"/>
      <c r="D88" s="121" t="s">
        <v>75</v>
      </c>
      <c r="E88" s="854">
        <v>78</v>
      </c>
      <c r="F88" s="855">
        <v>-198</v>
      </c>
      <c r="G88" s="625">
        <v>-61</v>
      </c>
      <c r="H88" s="344" t="s">
        <v>792</v>
      </c>
      <c r="I88" s="451" t="s">
        <v>793</v>
      </c>
    </row>
    <row r="89" spans="1:9" x14ac:dyDescent="0.25">
      <c r="A89" s="10"/>
      <c r="B89" s="11"/>
      <c r="C89" s="11"/>
      <c r="D89" s="126" t="s">
        <v>77</v>
      </c>
      <c r="E89" s="854">
        <v>1</v>
      </c>
      <c r="F89" s="855">
        <v>3</v>
      </c>
      <c r="G89" s="625">
        <v>1</v>
      </c>
      <c r="H89" s="344" t="s">
        <v>792</v>
      </c>
      <c r="I89" s="451" t="s">
        <v>793</v>
      </c>
    </row>
    <row r="90" spans="1:9" x14ac:dyDescent="0.25">
      <c r="A90" s="10"/>
      <c r="B90" s="11"/>
      <c r="C90" s="11"/>
      <c r="D90" s="121" t="s">
        <v>78</v>
      </c>
      <c r="E90" s="854">
        <v>4</v>
      </c>
      <c r="F90" s="855">
        <v>5</v>
      </c>
      <c r="G90" s="625">
        <v>11</v>
      </c>
      <c r="H90" s="344" t="s">
        <v>792</v>
      </c>
      <c r="I90" s="451" t="s">
        <v>793</v>
      </c>
    </row>
    <row r="91" spans="1:9" x14ac:dyDescent="0.25">
      <c r="A91" s="10"/>
      <c r="B91" s="11"/>
      <c r="C91" s="11"/>
      <c r="D91" s="121" t="s">
        <v>81</v>
      </c>
      <c r="E91" s="854">
        <v>13</v>
      </c>
      <c r="F91" s="855">
        <v>18</v>
      </c>
      <c r="G91" s="625">
        <v>10</v>
      </c>
      <c r="H91" s="344" t="s">
        <v>792</v>
      </c>
      <c r="I91" s="451" t="s">
        <v>793</v>
      </c>
    </row>
    <row r="92" spans="1:9" x14ac:dyDescent="0.25">
      <c r="A92" s="10"/>
      <c r="B92" s="11"/>
      <c r="C92" s="11"/>
      <c r="D92" s="121" t="s">
        <v>82</v>
      </c>
      <c r="E92" s="854">
        <f>-SUM(E89:E91)</f>
        <v>-18</v>
      </c>
      <c r="F92" s="855">
        <f>-SUM(F89:F91)</f>
        <v>-26</v>
      </c>
      <c r="G92" s="625">
        <f>-SUM(G89:G91)</f>
        <v>-22</v>
      </c>
      <c r="H92" s="629" t="s">
        <v>21</v>
      </c>
      <c r="I92" s="629" t="s">
        <v>21</v>
      </c>
    </row>
    <row r="93" spans="1:9" x14ac:dyDescent="0.25">
      <c r="A93" s="10"/>
      <c r="B93" s="11"/>
      <c r="C93" s="11"/>
      <c r="D93" s="116" t="s">
        <v>83</v>
      </c>
      <c r="E93" s="852">
        <f>+SUM(E94:E98)</f>
        <v>29</v>
      </c>
      <c r="F93" s="853">
        <f>+SUM(F94:F98)</f>
        <v>-9</v>
      </c>
      <c r="G93" s="619">
        <f>+SUM(G94:G98)</f>
        <v>-3</v>
      </c>
      <c r="H93" s="222"/>
      <c r="I93" s="37" t="s">
        <v>794</v>
      </c>
    </row>
    <row r="94" spans="1:9" x14ac:dyDescent="0.25">
      <c r="A94" s="10"/>
      <c r="B94" s="11"/>
      <c r="C94" s="11"/>
      <c r="D94" s="121" t="s">
        <v>84</v>
      </c>
      <c r="E94" s="854">
        <v>5139</v>
      </c>
      <c r="F94" s="855">
        <v>5104</v>
      </c>
      <c r="G94" s="625">
        <v>4946</v>
      </c>
      <c r="H94" s="344" t="s">
        <v>795</v>
      </c>
      <c r="I94" s="451" t="s">
        <v>796</v>
      </c>
    </row>
    <row r="95" spans="1:9" x14ac:dyDescent="0.25">
      <c r="A95" s="10"/>
      <c r="B95" s="11"/>
      <c r="C95" s="11"/>
      <c r="D95" s="121" t="s">
        <v>82</v>
      </c>
      <c r="E95" s="854">
        <f>-E92</f>
        <v>18</v>
      </c>
      <c r="F95" s="855">
        <f>-F92</f>
        <v>26</v>
      </c>
      <c r="G95" s="625">
        <f>-G92</f>
        <v>22</v>
      </c>
      <c r="H95" s="629" t="s">
        <v>21</v>
      </c>
      <c r="I95" s="461" t="s">
        <v>21</v>
      </c>
    </row>
    <row r="96" spans="1:9" x14ac:dyDescent="0.25">
      <c r="A96" s="10"/>
      <c r="B96" s="11"/>
      <c r="C96" s="11"/>
      <c r="D96" s="121" t="s">
        <v>87</v>
      </c>
      <c r="E96" s="854">
        <v>1280</v>
      </c>
      <c r="F96" s="855">
        <v>1237</v>
      </c>
      <c r="G96" s="625">
        <v>1197</v>
      </c>
      <c r="H96" s="344" t="s">
        <v>795</v>
      </c>
      <c r="I96" s="451" t="s">
        <v>796</v>
      </c>
    </row>
    <row r="97" spans="1:9" x14ac:dyDescent="0.25">
      <c r="A97" s="10"/>
      <c r="B97" s="11"/>
      <c r="C97" s="11"/>
      <c r="D97" s="121" t="s">
        <v>89</v>
      </c>
      <c r="E97" s="854">
        <v>-5110</v>
      </c>
      <c r="F97" s="855">
        <v>-5126</v>
      </c>
      <c r="G97" s="625">
        <v>-4933</v>
      </c>
      <c r="H97" s="344" t="s">
        <v>795</v>
      </c>
      <c r="I97" s="451" t="s">
        <v>796</v>
      </c>
    </row>
    <row r="98" spans="1:9" x14ac:dyDescent="0.25">
      <c r="A98" s="10"/>
      <c r="B98" s="11"/>
      <c r="C98" s="11"/>
      <c r="D98" s="121" t="s">
        <v>92</v>
      </c>
      <c r="E98" s="854">
        <v>-1298</v>
      </c>
      <c r="F98" s="855">
        <v>-1250</v>
      </c>
      <c r="G98" s="625">
        <v>-1235</v>
      </c>
      <c r="H98" s="344" t="s">
        <v>795</v>
      </c>
      <c r="I98" s="451" t="s">
        <v>797</v>
      </c>
    </row>
    <row r="99" spans="1:9" x14ac:dyDescent="0.25">
      <c r="A99" s="10"/>
      <c r="B99" s="11"/>
      <c r="C99" s="11"/>
      <c r="D99" s="116" t="s">
        <v>94</v>
      </c>
      <c r="E99" s="852">
        <f>+SUM(E100:E104,E108)</f>
        <v>373</v>
      </c>
      <c r="F99" s="853">
        <f>+SUM(F100:F104,F108)</f>
        <v>504</v>
      </c>
      <c r="G99" s="619">
        <f>+SUM(G100:G104,G108)</f>
        <v>238</v>
      </c>
      <c r="H99" s="222"/>
      <c r="I99" s="37"/>
    </row>
    <row r="100" spans="1:9" x14ac:dyDescent="0.25">
      <c r="A100" s="10"/>
      <c r="B100" s="11"/>
      <c r="C100" s="11"/>
      <c r="D100" s="121" t="s">
        <v>95</v>
      </c>
      <c r="E100" s="854">
        <v>2863</v>
      </c>
      <c r="F100" s="855">
        <v>2791</v>
      </c>
      <c r="G100" s="625">
        <v>2786</v>
      </c>
      <c r="H100" s="344" t="s">
        <v>795</v>
      </c>
      <c r="I100" s="451" t="s">
        <v>797</v>
      </c>
    </row>
    <row r="101" spans="1:9" x14ac:dyDescent="0.25">
      <c r="A101" s="10"/>
      <c r="B101" s="11"/>
      <c r="C101" s="11"/>
      <c r="D101" s="121" t="s">
        <v>96</v>
      </c>
      <c r="E101" s="854">
        <v>-1502</v>
      </c>
      <c r="F101" s="855">
        <v>-1402</v>
      </c>
      <c r="G101" s="625">
        <v>-1565</v>
      </c>
      <c r="H101" s="344" t="s">
        <v>792</v>
      </c>
      <c r="I101" s="344" t="s">
        <v>798</v>
      </c>
    </row>
    <row r="102" spans="1:9" x14ac:dyDescent="0.25">
      <c r="A102" s="10"/>
      <c r="B102" s="11"/>
      <c r="C102" s="11"/>
      <c r="D102" s="121" t="s">
        <v>92</v>
      </c>
      <c r="E102" s="854">
        <v>-922</v>
      </c>
      <c r="F102" s="855">
        <v>-897</v>
      </c>
      <c r="G102" s="625">
        <v>-900</v>
      </c>
      <c r="H102" s="344" t="s">
        <v>792</v>
      </c>
      <c r="I102" s="344" t="s">
        <v>798</v>
      </c>
    </row>
    <row r="103" spans="1:9" x14ac:dyDescent="0.25">
      <c r="A103" s="10"/>
      <c r="B103" s="11"/>
      <c r="C103" s="11"/>
      <c r="D103" s="121" t="s">
        <v>99</v>
      </c>
      <c r="E103" s="856">
        <v>-46</v>
      </c>
      <c r="F103" s="857">
        <v>29</v>
      </c>
      <c r="G103" s="858">
        <v>-41</v>
      </c>
      <c r="H103" s="344" t="s">
        <v>792</v>
      </c>
      <c r="I103" s="344" t="s">
        <v>798</v>
      </c>
    </row>
    <row r="104" spans="1:9" x14ac:dyDescent="0.25">
      <c r="A104" s="10"/>
      <c r="B104" s="11"/>
      <c r="C104" s="11"/>
      <c r="D104" s="121" t="s">
        <v>102</v>
      </c>
      <c r="E104" s="854">
        <f>SUM(E105:E107)</f>
        <v>0</v>
      </c>
      <c r="F104" s="855">
        <f>+SUM(F105:F107)</f>
        <v>8</v>
      </c>
      <c r="G104" s="625">
        <f>+SUM(G105:G107)</f>
        <v>-6</v>
      </c>
      <c r="H104" s="222"/>
      <c r="I104" s="120"/>
    </row>
    <row r="105" spans="1:9" x14ac:dyDescent="0.25">
      <c r="A105" s="10"/>
      <c r="B105" s="11"/>
      <c r="C105" s="11"/>
      <c r="D105" s="132" t="s">
        <v>72</v>
      </c>
      <c r="E105" s="859">
        <v>-3</v>
      </c>
      <c r="F105" s="860">
        <v>-3</v>
      </c>
      <c r="G105" s="861">
        <v>-5</v>
      </c>
      <c r="H105" s="344" t="s">
        <v>792</v>
      </c>
      <c r="I105" s="344" t="s">
        <v>798</v>
      </c>
    </row>
    <row r="106" spans="1:9" x14ac:dyDescent="0.25">
      <c r="A106" s="10"/>
      <c r="B106" s="11"/>
      <c r="C106" s="11"/>
      <c r="D106" s="132" t="s">
        <v>103</v>
      </c>
      <c r="E106" s="859">
        <v>-1</v>
      </c>
      <c r="F106" s="860">
        <v>4</v>
      </c>
      <c r="G106" s="861">
        <v>-6</v>
      </c>
      <c r="H106" s="344" t="s">
        <v>792</v>
      </c>
      <c r="I106" s="344" t="s">
        <v>798</v>
      </c>
    </row>
    <row r="107" spans="1:9" x14ac:dyDescent="0.25">
      <c r="A107" s="10"/>
      <c r="B107" s="11"/>
      <c r="C107" s="11"/>
      <c r="D107" s="132" t="s">
        <v>106</v>
      </c>
      <c r="E107" s="859">
        <v>4</v>
      </c>
      <c r="F107" s="860">
        <v>7</v>
      </c>
      <c r="G107" s="861">
        <v>5</v>
      </c>
      <c r="H107" s="344" t="s">
        <v>792</v>
      </c>
      <c r="I107" s="344" t="s">
        <v>798</v>
      </c>
    </row>
    <row r="108" spans="1:9" x14ac:dyDescent="0.25">
      <c r="A108" s="10"/>
      <c r="B108" s="11"/>
      <c r="C108" s="11"/>
      <c r="D108" s="121" t="s">
        <v>30</v>
      </c>
      <c r="E108" s="854">
        <f>+SUM(E109:E110)</f>
        <v>-20</v>
      </c>
      <c r="F108" s="855">
        <f>+SUM(F109:F110)</f>
        <v>-25</v>
      </c>
      <c r="G108" s="625">
        <f>+SUM(G109:G110)</f>
        <v>-36</v>
      </c>
      <c r="H108" s="222"/>
      <c r="I108" s="120"/>
    </row>
    <row r="109" spans="1:9" x14ac:dyDescent="0.25">
      <c r="A109" s="10"/>
      <c r="B109" s="11"/>
      <c r="C109" s="11"/>
      <c r="D109" s="132" t="s">
        <v>107</v>
      </c>
      <c r="E109" s="859">
        <v>-15</v>
      </c>
      <c r="F109" s="860">
        <v>-19</v>
      </c>
      <c r="G109" s="861">
        <v>-30</v>
      </c>
      <c r="H109" s="344" t="s">
        <v>792</v>
      </c>
      <c r="I109" s="344" t="s">
        <v>798</v>
      </c>
    </row>
    <row r="110" spans="1:9" x14ac:dyDescent="0.25">
      <c r="A110" s="10"/>
      <c r="B110" s="11"/>
      <c r="C110" s="11"/>
      <c r="D110" s="132" t="s">
        <v>108</v>
      </c>
      <c r="E110" s="859">
        <v>-5</v>
      </c>
      <c r="F110" s="860">
        <v>-6</v>
      </c>
      <c r="G110" s="861">
        <v>-6</v>
      </c>
      <c r="H110" s="344" t="s">
        <v>792</v>
      </c>
      <c r="I110" s="344" t="s">
        <v>798</v>
      </c>
    </row>
    <row r="111" spans="1:9" x14ac:dyDescent="0.25">
      <c r="A111" s="10"/>
      <c r="B111" s="11"/>
      <c r="C111" s="11"/>
      <c r="D111" s="116" t="s">
        <v>111</v>
      </c>
      <c r="E111" s="852">
        <f>+SUM(E112:E116)</f>
        <v>35</v>
      </c>
      <c r="F111" s="853">
        <f t="shared" ref="F111:G111" si="2">+SUM(F112:F116)</f>
        <v>-6</v>
      </c>
      <c r="G111" s="619">
        <f t="shared" si="2"/>
        <v>74</v>
      </c>
      <c r="H111" s="222"/>
      <c r="I111" s="120"/>
    </row>
    <row r="112" spans="1:9" x14ac:dyDescent="0.25">
      <c r="A112" s="10"/>
      <c r="B112" s="11"/>
      <c r="C112" s="11"/>
      <c r="D112" s="121" t="s">
        <v>112</v>
      </c>
      <c r="E112" s="854">
        <v>18</v>
      </c>
      <c r="F112" s="855">
        <v>12</v>
      </c>
      <c r="G112" s="625">
        <v>21</v>
      </c>
      <c r="H112" s="344" t="s">
        <v>795</v>
      </c>
      <c r="I112" s="862" t="s">
        <v>799</v>
      </c>
    </row>
    <row r="113" spans="1:9" x14ac:dyDescent="0.25">
      <c r="A113" s="10"/>
      <c r="B113" s="11"/>
      <c r="C113" s="11"/>
      <c r="D113" s="121" t="s">
        <v>99</v>
      </c>
      <c r="E113" s="854">
        <v>17</v>
      </c>
      <c r="F113" s="855">
        <v>-18</v>
      </c>
      <c r="G113" s="625">
        <v>53</v>
      </c>
      <c r="H113" s="344" t="s">
        <v>795</v>
      </c>
      <c r="I113" s="862" t="s">
        <v>799</v>
      </c>
    </row>
    <row r="114" spans="1:9" x14ac:dyDescent="0.25">
      <c r="A114" s="10"/>
      <c r="B114" s="11"/>
      <c r="C114" s="11"/>
      <c r="D114" s="121" t="s">
        <v>115</v>
      </c>
      <c r="E114" s="854">
        <v>415</v>
      </c>
      <c r="F114" s="855">
        <v>363</v>
      </c>
      <c r="G114" s="625">
        <v>362</v>
      </c>
      <c r="H114" s="344" t="s">
        <v>795</v>
      </c>
      <c r="I114" s="862" t="s">
        <v>799</v>
      </c>
    </row>
    <row r="115" spans="1:9" x14ac:dyDescent="0.25">
      <c r="A115" s="10"/>
      <c r="B115" s="11"/>
      <c r="C115" s="11"/>
      <c r="D115" s="121" t="s">
        <v>108</v>
      </c>
      <c r="E115" s="854">
        <v>-415</v>
      </c>
      <c r="F115" s="855">
        <v>-363</v>
      </c>
      <c r="G115" s="625">
        <v>-362</v>
      </c>
      <c r="H115" s="344" t="s">
        <v>795</v>
      </c>
      <c r="I115" s="862" t="s">
        <v>799</v>
      </c>
    </row>
    <row r="116" spans="1:9" x14ac:dyDescent="0.25">
      <c r="A116" s="10"/>
      <c r="B116" s="11"/>
      <c r="C116" s="11"/>
      <c r="D116" s="139" t="s">
        <v>117</v>
      </c>
      <c r="E116" s="854">
        <v>0</v>
      </c>
      <c r="F116" s="855">
        <v>0</v>
      </c>
      <c r="G116" s="625">
        <v>0</v>
      </c>
      <c r="H116" s="863"/>
      <c r="I116" s="460"/>
    </row>
    <row r="117" spans="1:9" x14ac:dyDescent="0.25">
      <c r="A117" s="10"/>
      <c r="B117" s="11"/>
      <c r="C117" s="11"/>
      <c r="D117" s="143"/>
      <c r="E117" s="806"/>
      <c r="F117" s="807"/>
      <c r="G117" s="571"/>
      <c r="H117" s="571"/>
      <c r="I117" s="120"/>
    </row>
    <row r="118" spans="1:9" x14ac:dyDescent="0.25">
      <c r="A118" s="10"/>
      <c r="B118" s="11"/>
      <c r="C118" s="11"/>
      <c r="D118" s="142" t="s">
        <v>118</v>
      </c>
      <c r="E118" s="840" t="b">
        <f>SUM(E84:E86,E93,E99,E111)=E83</f>
        <v>1</v>
      </c>
      <c r="F118" s="841" t="b">
        <f>SUM(F84:F86,F93,F99,F111)=F83</f>
        <v>1</v>
      </c>
      <c r="G118" s="638" t="b">
        <f>SUM(G84:G86,G93,G99,G111)=G83</f>
        <v>1</v>
      </c>
      <c r="H118" s="638"/>
      <c r="I118" s="120"/>
    </row>
    <row r="119" spans="1:9" x14ac:dyDescent="0.25">
      <c r="A119" s="10"/>
      <c r="B119" s="11"/>
      <c r="C119" s="11"/>
      <c r="D119" s="142" t="s">
        <v>95</v>
      </c>
      <c r="E119" s="840" t="b">
        <f>SUM(E84,E85,E94,E100,E112,E114,E96)=10706</f>
        <v>1</v>
      </c>
      <c r="F119" s="841" t="b">
        <f>SUM(F84,F85,F94,F100,F112,F114,F96)=10453</f>
        <v>1</v>
      </c>
      <c r="G119" s="638" t="b">
        <f>SUM(G84,G85,G94,G100,G112,G114,G96)=10267</f>
        <v>1</v>
      </c>
      <c r="H119" s="638"/>
      <c r="I119" s="120"/>
    </row>
    <row r="120" spans="1:9" x14ac:dyDescent="0.25">
      <c r="A120" s="10"/>
      <c r="B120" s="11"/>
      <c r="C120" s="11"/>
      <c r="D120" s="864"/>
      <c r="E120" s="840"/>
      <c r="F120" s="841"/>
      <c r="G120" s="638"/>
      <c r="H120" s="638"/>
      <c r="I120" s="120"/>
    </row>
    <row r="121" spans="1:9" x14ac:dyDescent="0.25">
      <c r="A121" s="10"/>
      <c r="B121" s="11"/>
      <c r="C121" s="11"/>
      <c r="D121" s="142"/>
      <c r="E121" s="840"/>
      <c r="F121" s="841"/>
      <c r="G121" s="638"/>
      <c r="H121" s="638"/>
      <c r="I121" s="120"/>
    </row>
    <row r="122" spans="1:9" x14ac:dyDescent="0.25">
      <c r="A122" s="10"/>
      <c r="B122" s="11"/>
      <c r="C122" s="11"/>
      <c r="D122" s="143"/>
      <c r="E122" s="806"/>
      <c r="F122" s="807"/>
      <c r="G122" s="571"/>
      <c r="H122" s="571"/>
      <c r="I122" s="120"/>
    </row>
    <row r="123" spans="1:9" s="44" customFormat="1" ht="26.25" x14ac:dyDescent="0.25">
      <c r="A123" s="39"/>
      <c r="B123" s="32"/>
      <c r="C123" s="32"/>
      <c r="D123" s="110" t="s">
        <v>120</v>
      </c>
      <c r="E123" s="850">
        <v>-198</v>
      </c>
      <c r="F123" s="851">
        <v>-236</v>
      </c>
      <c r="G123" s="614">
        <v>-52</v>
      </c>
      <c r="H123" s="865" t="s">
        <v>800</v>
      </c>
      <c r="I123" s="865" t="s">
        <v>801</v>
      </c>
    </row>
    <row r="124" spans="1:9" x14ac:dyDescent="0.25">
      <c r="A124" s="10"/>
      <c r="B124" s="11"/>
      <c r="C124" s="11"/>
      <c r="D124" s="33"/>
      <c r="E124" s="806"/>
      <c r="F124" s="807"/>
      <c r="G124" s="571"/>
      <c r="H124" s="571"/>
      <c r="I124" s="147"/>
    </row>
    <row r="125" spans="1:9" s="44" customFormat="1" x14ac:dyDescent="0.25">
      <c r="A125" s="39"/>
      <c r="B125" s="32"/>
      <c r="C125" s="32"/>
      <c r="D125" s="110" t="s">
        <v>122</v>
      </c>
      <c r="E125" s="850">
        <f>9503-8067-579</f>
        <v>857</v>
      </c>
      <c r="F125" s="851">
        <f>8665-6955+237</f>
        <v>1947</v>
      </c>
      <c r="G125" s="614">
        <f>447-164</f>
        <v>283</v>
      </c>
      <c r="H125" s="114" t="s">
        <v>802</v>
      </c>
      <c r="I125" s="615"/>
    </row>
    <row r="126" spans="1:9" s="44" customFormat="1" x14ac:dyDescent="0.25">
      <c r="A126" s="39"/>
      <c r="B126" s="32"/>
      <c r="C126" s="32"/>
      <c r="D126" s="116" t="s">
        <v>124</v>
      </c>
      <c r="E126" s="866"/>
      <c r="F126" s="867"/>
      <c r="G126" s="646"/>
      <c r="H126" s="868" t="s">
        <v>384</v>
      </c>
      <c r="I126" s="869" t="s">
        <v>384</v>
      </c>
    </row>
    <row r="127" spans="1:9" s="44" customFormat="1" x14ac:dyDescent="0.25">
      <c r="A127" s="39"/>
      <c r="B127" s="32"/>
      <c r="C127" s="32"/>
      <c r="D127" s="151" t="s">
        <v>125</v>
      </c>
      <c r="E127" s="866"/>
      <c r="F127" s="867"/>
      <c r="G127" s="646"/>
      <c r="H127" s="868" t="s">
        <v>384</v>
      </c>
      <c r="I127" s="869" t="s">
        <v>384</v>
      </c>
    </row>
    <row r="128" spans="1:9" s="44" customFormat="1" x14ac:dyDescent="0.25">
      <c r="A128" s="39"/>
      <c r="B128" s="32"/>
      <c r="C128" s="32"/>
      <c r="D128" s="152" t="s">
        <v>126</v>
      </c>
      <c r="E128" s="870">
        <v>0</v>
      </c>
      <c r="F128" s="871">
        <v>0</v>
      </c>
      <c r="G128" s="651">
        <v>0</v>
      </c>
      <c r="H128" s="872" t="s">
        <v>384</v>
      </c>
      <c r="I128" s="88" t="s">
        <v>803</v>
      </c>
    </row>
    <row r="129" spans="1:11" s="44" customFormat="1" x14ac:dyDescent="0.25">
      <c r="A129" s="39"/>
      <c r="B129" s="32"/>
      <c r="C129" s="32"/>
      <c r="D129" s="152" t="s">
        <v>127</v>
      </c>
      <c r="E129" s="870">
        <v>4841</v>
      </c>
      <c r="F129" s="871">
        <v>4051</v>
      </c>
      <c r="G129" s="651">
        <v>-5560</v>
      </c>
      <c r="H129" s="88" t="s">
        <v>804</v>
      </c>
      <c r="I129" s="88" t="s">
        <v>803</v>
      </c>
    </row>
    <row r="130" spans="1:11" s="44" customFormat="1" x14ac:dyDescent="0.25">
      <c r="A130" s="39"/>
      <c r="B130" s="32"/>
      <c r="C130" s="32"/>
      <c r="D130" s="152" t="s">
        <v>128</v>
      </c>
      <c r="E130" s="870">
        <v>0</v>
      </c>
      <c r="F130" s="871">
        <v>0</v>
      </c>
      <c r="G130" s="651">
        <v>0</v>
      </c>
      <c r="H130" s="873" t="s">
        <v>384</v>
      </c>
      <c r="I130" s="88" t="s">
        <v>803</v>
      </c>
    </row>
    <row r="131" spans="1:11" s="44" customFormat="1" x14ac:dyDescent="0.25">
      <c r="A131" s="39"/>
      <c r="B131" s="32"/>
      <c r="C131" s="32"/>
      <c r="D131" s="152" t="s">
        <v>129</v>
      </c>
      <c r="E131" s="870">
        <v>0</v>
      </c>
      <c r="F131" s="871">
        <v>0</v>
      </c>
      <c r="G131" s="651">
        <v>0</v>
      </c>
      <c r="H131" s="873" t="s">
        <v>384</v>
      </c>
      <c r="I131" s="88" t="s">
        <v>803</v>
      </c>
    </row>
    <row r="132" spans="1:11" s="44" customFormat="1" x14ac:dyDescent="0.25">
      <c r="A132" s="39"/>
      <c r="B132" s="32"/>
      <c r="C132" s="32"/>
      <c r="D132" s="167"/>
      <c r="E132" s="874">
        <f>SUM(E128:E131)</f>
        <v>4841</v>
      </c>
      <c r="F132" s="875">
        <f>SUM(F128:F131)</f>
        <v>4051</v>
      </c>
      <c r="G132" s="658">
        <f>SUM(G128:G131)</f>
        <v>-5560</v>
      </c>
      <c r="H132" s="876" t="s">
        <v>384</v>
      </c>
      <c r="I132" s="869" t="s">
        <v>384</v>
      </c>
    </row>
    <row r="133" spans="1:11" s="44" customFormat="1" x14ac:dyDescent="0.25">
      <c r="A133" s="39"/>
      <c r="B133" s="32"/>
      <c r="C133" s="32"/>
      <c r="D133" s="151" t="s">
        <v>130</v>
      </c>
      <c r="E133" s="870"/>
      <c r="F133" s="871"/>
      <c r="G133" s="651"/>
      <c r="H133" s="873" t="s">
        <v>384</v>
      </c>
      <c r="I133" s="869" t="s">
        <v>384</v>
      </c>
    </row>
    <row r="134" spans="1:11" s="44" customFormat="1" x14ac:dyDescent="0.25">
      <c r="A134" s="39"/>
      <c r="B134" s="32"/>
      <c r="C134" s="32"/>
      <c r="D134" s="152" t="s">
        <v>126</v>
      </c>
      <c r="E134" s="870">
        <f>4498-E128-625</f>
        <v>3873</v>
      </c>
      <c r="F134" s="871">
        <f>4220-F128-482</f>
        <v>3738</v>
      </c>
      <c r="G134" s="651">
        <f>3461-G128-274</f>
        <v>3187</v>
      </c>
      <c r="H134" s="88" t="s">
        <v>805</v>
      </c>
      <c r="I134" s="88" t="s">
        <v>806</v>
      </c>
    </row>
    <row r="135" spans="1:11" s="44" customFormat="1" x14ac:dyDescent="0.25">
      <c r="A135" s="39"/>
      <c r="B135" s="32"/>
      <c r="C135" s="32"/>
      <c r="D135" s="152" t="s">
        <v>127</v>
      </c>
      <c r="E135" s="870">
        <f>4036+13-E129</f>
        <v>-792</v>
      </c>
      <c r="F135" s="871">
        <f>3594+276-F129</f>
        <v>-181</v>
      </c>
      <c r="G135" s="651">
        <f>-6147+100-G129</f>
        <v>-487</v>
      </c>
      <c r="H135" s="88" t="s">
        <v>805</v>
      </c>
      <c r="I135" s="88" t="s">
        <v>807</v>
      </c>
      <c r="K135" s="877"/>
    </row>
    <row r="136" spans="1:11" s="44" customFormat="1" x14ac:dyDescent="0.25">
      <c r="A136" s="39"/>
      <c r="B136" s="32"/>
      <c r="C136" s="32"/>
      <c r="D136" s="152" t="s">
        <v>128</v>
      </c>
      <c r="E136" s="870">
        <v>439</v>
      </c>
      <c r="F136" s="871">
        <f>364-F130</f>
        <v>364</v>
      </c>
      <c r="G136" s="651">
        <v>332</v>
      </c>
      <c r="H136" s="88" t="s">
        <v>808</v>
      </c>
      <c r="I136" s="88" t="s">
        <v>803</v>
      </c>
    </row>
    <row r="137" spans="1:11" s="44" customFormat="1" x14ac:dyDescent="0.25">
      <c r="A137" s="39"/>
      <c r="B137" s="32"/>
      <c r="C137" s="32"/>
      <c r="D137" s="152" t="s">
        <v>135</v>
      </c>
      <c r="E137" s="870">
        <v>13</v>
      </c>
      <c r="F137" s="871">
        <v>-41</v>
      </c>
      <c r="G137" s="651">
        <v>-28</v>
      </c>
      <c r="H137" s="88" t="s">
        <v>808</v>
      </c>
      <c r="I137" s="88" t="s">
        <v>803</v>
      </c>
    </row>
    <row r="138" spans="1:11" s="44" customFormat="1" x14ac:dyDescent="0.25">
      <c r="A138" s="39"/>
      <c r="B138" s="32"/>
      <c r="C138" s="32"/>
      <c r="D138" s="152" t="s">
        <v>138</v>
      </c>
      <c r="E138" s="870">
        <v>-849</v>
      </c>
      <c r="F138" s="871">
        <f>692</f>
        <v>692</v>
      </c>
      <c r="G138" s="651">
        <f>-1527</f>
        <v>-1527</v>
      </c>
      <c r="H138" s="88" t="s">
        <v>808</v>
      </c>
      <c r="I138" s="88" t="s">
        <v>803</v>
      </c>
    </row>
    <row r="139" spans="1:11" s="44" customFormat="1" x14ac:dyDescent="0.25">
      <c r="A139" s="39"/>
      <c r="B139" s="32"/>
      <c r="C139" s="32"/>
      <c r="D139" s="152" t="s">
        <v>141</v>
      </c>
      <c r="E139" s="870">
        <v>673</v>
      </c>
      <c r="F139" s="871">
        <v>-50</v>
      </c>
      <c r="G139" s="651">
        <v>697</v>
      </c>
      <c r="H139" s="88" t="s">
        <v>808</v>
      </c>
      <c r="I139" s="88" t="s">
        <v>803</v>
      </c>
    </row>
    <row r="140" spans="1:11" s="44" customFormat="1" x14ac:dyDescent="0.25">
      <c r="A140" s="39"/>
      <c r="B140" s="32"/>
      <c r="C140" s="32"/>
      <c r="D140" s="152" t="s">
        <v>142</v>
      </c>
      <c r="E140" s="870">
        <v>0</v>
      </c>
      <c r="F140" s="871">
        <v>0</v>
      </c>
      <c r="G140" s="651">
        <v>0</v>
      </c>
      <c r="H140" s="873" t="s">
        <v>384</v>
      </c>
      <c r="I140" s="869" t="s">
        <v>384</v>
      </c>
    </row>
    <row r="141" spans="1:11" s="44" customFormat="1" x14ac:dyDescent="0.25">
      <c r="A141" s="39"/>
      <c r="B141" s="32"/>
      <c r="C141" s="32"/>
      <c r="D141" s="152" t="s">
        <v>144</v>
      </c>
      <c r="E141" s="870">
        <f>5+109-13</f>
        <v>101</v>
      </c>
      <c r="F141" s="871">
        <f>9+114-276</f>
        <v>-153</v>
      </c>
      <c r="G141" s="651">
        <v>12</v>
      </c>
      <c r="H141" s="88" t="s">
        <v>808</v>
      </c>
      <c r="I141" s="88" t="s">
        <v>803</v>
      </c>
    </row>
    <row r="142" spans="1:11" s="44" customFormat="1" x14ac:dyDescent="0.25">
      <c r="A142" s="39"/>
      <c r="B142" s="32"/>
      <c r="C142" s="32"/>
      <c r="D142" s="152"/>
      <c r="E142" s="874">
        <f>SUM(E134:E141)</f>
        <v>3458</v>
      </c>
      <c r="F142" s="875">
        <f>SUM(F134:F141)</f>
        <v>4369</v>
      </c>
      <c r="G142" s="658">
        <f>SUM(G134:G141)</f>
        <v>2186</v>
      </c>
      <c r="H142" s="868" t="s">
        <v>384</v>
      </c>
      <c r="I142" s="869" t="s">
        <v>384</v>
      </c>
    </row>
    <row r="143" spans="1:11" s="44" customFormat="1" x14ac:dyDescent="0.25">
      <c r="A143" s="39"/>
      <c r="B143" s="32"/>
      <c r="C143" s="32"/>
      <c r="D143" s="159"/>
      <c r="E143" s="866"/>
      <c r="F143" s="867"/>
      <c r="G143" s="646"/>
      <c r="H143" s="868" t="s">
        <v>384</v>
      </c>
      <c r="I143" s="869" t="s">
        <v>384</v>
      </c>
    </row>
    <row r="144" spans="1:11" s="44" customFormat="1" x14ac:dyDescent="0.25">
      <c r="A144" s="39"/>
      <c r="B144" s="32"/>
      <c r="C144" s="32"/>
      <c r="D144" s="116" t="s">
        <v>146</v>
      </c>
      <c r="E144" s="866"/>
      <c r="F144" s="867"/>
      <c r="G144" s="646"/>
      <c r="H144" s="868" t="s">
        <v>384</v>
      </c>
      <c r="I144" s="869" t="s">
        <v>384</v>
      </c>
    </row>
    <row r="145" spans="1:9" x14ac:dyDescent="0.25">
      <c r="A145" s="10"/>
      <c r="B145" s="11"/>
      <c r="C145" s="11"/>
      <c r="D145" s="151" t="s">
        <v>147</v>
      </c>
      <c r="E145" s="870">
        <v>-4862</v>
      </c>
      <c r="F145" s="871">
        <v>-4084</v>
      </c>
      <c r="G145" s="651">
        <v>5584</v>
      </c>
      <c r="H145" s="88" t="s">
        <v>805</v>
      </c>
      <c r="I145" s="88" t="s">
        <v>809</v>
      </c>
    </row>
    <row r="146" spans="1:9" x14ac:dyDescent="0.25">
      <c r="A146" s="10"/>
      <c r="B146" s="11"/>
      <c r="C146" s="11"/>
      <c r="D146" s="151" t="s">
        <v>150</v>
      </c>
      <c r="E146" s="870">
        <f>-1892+3</f>
        <v>-1889</v>
      </c>
      <c r="F146" s="871">
        <f>-1832+3</f>
        <v>-1829</v>
      </c>
      <c r="G146" s="651">
        <f>-1610+6</f>
        <v>-1604</v>
      </c>
      <c r="H146" s="88" t="s">
        <v>805</v>
      </c>
      <c r="I146" s="88" t="s">
        <v>809</v>
      </c>
    </row>
    <row r="147" spans="1:9" x14ac:dyDescent="0.25">
      <c r="A147" s="10"/>
      <c r="B147" s="11"/>
      <c r="C147" s="11"/>
      <c r="D147" s="151" t="s">
        <v>151</v>
      </c>
      <c r="E147" s="870">
        <v>-684</v>
      </c>
      <c r="F147" s="871">
        <v>-551</v>
      </c>
      <c r="G147" s="651">
        <v>-315</v>
      </c>
      <c r="H147" s="88" t="s">
        <v>805</v>
      </c>
      <c r="I147" s="88" t="s">
        <v>809</v>
      </c>
    </row>
    <row r="148" spans="1:9" x14ac:dyDescent="0.25">
      <c r="A148" s="10"/>
      <c r="B148" s="11"/>
      <c r="C148" s="11"/>
      <c r="D148" s="151"/>
      <c r="E148" s="874">
        <f>SUM(E145:E147)</f>
        <v>-7435</v>
      </c>
      <c r="F148" s="875">
        <f>SUM(F145:F147)</f>
        <v>-6464</v>
      </c>
      <c r="G148" s="658">
        <f>SUM(G145:G147)</f>
        <v>3665</v>
      </c>
      <c r="H148" s="868" t="s">
        <v>384</v>
      </c>
      <c r="I148" s="869" t="s">
        <v>384</v>
      </c>
    </row>
    <row r="149" spans="1:9" x14ac:dyDescent="0.25">
      <c r="A149" s="10"/>
      <c r="B149" s="11"/>
      <c r="C149" s="11"/>
      <c r="D149" s="159"/>
      <c r="E149" s="870"/>
      <c r="F149" s="871"/>
      <c r="G149" s="651"/>
      <c r="H149" s="872" t="s">
        <v>384</v>
      </c>
      <c r="I149" s="869" t="s">
        <v>384</v>
      </c>
    </row>
    <row r="150" spans="1:9" x14ac:dyDescent="0.25">
      <c r="A150" s="10"/>
      <c r="B150" s="11"/>
      <c r="C150" s="11"/>
      <c r="D150" s="116" t="s">
        <v>154</v>
      </c>
      <c r="E150" s="870">
        <v>-7</v>
      </c>
      <c r="F150" s="871">
        <v>-9</v>
      </c>
      <c r="G150" s="651">
        <v>-8</v>
      </c>
      <c r="H150" s="88" t="s">
        <v>810</v>
      </c>
      <c r="I150" s="88" t="s">
        <v>811</v>
      </c>
    </row>
    <row r="151" spans="1:9" x14ac:dyDescent="0.25">
      <c r="A151" s="10"/>
      <c r="B151" s="11"/>
      <c r="C151" s="11"/>
      <c r="D151" s="159"/>
      <c r="E151" s="870"/>
      <c r="F151" s="871"/>
      <c r="G151" s="651"/>
      <c r="H151" s="651"/>
      <c r="I151" s="120"/>
    </row>
    <row r="152" spans="1:9" ht="15.75" thickBot="1" x14ac:dyDescent="0.3">
      <c r="A152" s="10"/>
      <c r="B152" s="11"/>
      <c r="C152" s="11"/>
      <c r="D152" s="159"/>
      <c r="E152" s="878">
        <f>SUM(E132,E142,E148,E150)</f>
        <v>857</v>
      </c>
      <c r="F152" s="879">
        <f>SUM(F132,F142,F148,F150)</f>
        <v>1947</v>
      </c>
      <c r="G152" s="671">
        <f>SUM(G132,G142,G148,G150)</f>
        <v>283</v>
      </c>
      <c r="H152" s="646"/>
      <c r="I152" s="120"/>
    </row>
    <row r="153" spans="1:9" ht="15.75" thickTop="1" x14ac:dyDescent="0.25">
      <c r="A153" s="10"/>
      <c r="B153" s="11"/>
      <c r="C153" s="11"/>
      <c r="D153" s="159"/>
      <c r="E153" s="825" t="b">
        <f>E152=E125</f>
        <v>1</v>
      </c>
      <c r="F153" s="826" t="b">
        <f>F152=F125</f>
        <v>1</v>
      </c>
      <c r="G153" s="673" t="b">
        <f>G152=G125</f>
        <v>1</v>
      </c>
      <c r="H153" s="638"/>
      <c r="I153" s="120"/>
    </row>
    <row r="154" spans="1:9" x14ac:dyDescent="0.25">
      <c r="A154" s="10"/>
      <c r="B154" s="11"/>
      <c r="C154" s="11"/>
      <c r="D154" s="159"/>
      <c r="E154" s="840"/>
      <c r="F154" s="841"/>
      <c r="G154" s="638"/>
      <c r="H154" s="638"/>
      <c r="I154" s="120"/>
    </row>
    <row r="155" spans="1:9" x14ac:dyDescent="0.25">
      <c r="A155" s="10"/>
      <c r="B155" s="11"/>
      <c r="C155" s="11"/>
      <c r="D155" s="116" t="s">
        <v>155</v>
      </c>
      <c r="E155" s="840"/>
      <c r="F155" s="841"/>
      <c r="G155" s="638"/>
      <c r="H155" s="638"/>
      <c r="I155" s="120"/>
    </row>
    <row r="156" spans="1:9" x14ac:dyDescent="0.25">
      <c r="A156" s="10"/>
      <c r="B156" s="11"/>
      <c r="C156" s="11"/>
      <c r="D156" s="174" t="s">
        <v>812</v>
      </c>
      <c r="E156" s="840"/>
      <c r="F156" s="841"/>
      <c r="G156" s="638"/>
      <c r="H156" s="638"/>
      <c r="I156" s="120"/>
    </row>
    <row r="157" spans="1:9" x14ac:dyDescent="0.25">
      <c r="A157" s="10"/>
      <c r="B157" s="11"/>
      <c r="C157" s="11"/>
      <c r="D157" s="175" t="s">
        <v>157</v>
      </c>
      <c r="E157" s="880">
        <v>2.3E-2</v>
      </c>
      <c r="F157" s="881">
        <v>3.4000000000000002E-2</v>
      </c>
      <c r="G157" s="882">
        <v>3.2000000000000001E-2</v>
      </c>
      <c r="H157" s="883" t="s">
        <v>813</v>
      </c>
      <c r="I157" s="344" t="s">
        <v>814</v>
      </c>
    </row>
    <row r="158" spans="1:9" x14ac:dyDescent="0.25">
      <c r="A158" s="10"/>
      <c r="B158" s="11"/>
      <c r="C158" s="11"/>
      <c r="D158" s="175" t="s">
        <v>160</v>
      </c>
      <c r="E158" s="880">
        <v>2.1999999999999999E-2</v>
      </c>
      <c r="F158" s="881">
        <v>2.4E-2</v>
      </c>
      <c r="G158" s="882">
        <v>3.1E-2</v>
      </c>
      <c r="H158" s="344" t="s">
        <v>813</v>
      </c>
      <c r="I158" s="344" t="s">
        <v>814</v>
      </c>
    </row>
    <row r="159" spans="1:9" x14ac:dyDescent="0.25">
      <c r="A159" s="10"/>
      <c r="B159" s="11"/>
      <c r="C159" s="11"/>
      <c r="D159" s="175" t="s">
        <v>161</v>
      </c>
      <c r="E159" s="880">
        <v>2.3E-2</v>
      </c>
      <c r="F159" s="881">
        <v>2.5000000000000001E-2</v>
      </c>
      <c r="G159" s="882">
        <v>3.1E-2</v>
      </c>
      <c r="H159" s="344" t="s">
        <v>813</v>
      </c>
      <c r="I159" s="344" t="s">
        <v>814</v>
      </c>
    </row>
    <row r="160" spans="1:9" x14ac:dyDescent="0.25">
      <c r="A160" s="10"/>
      <c r="B160" s="11"/>
      <c r="C160" s="11"/>
      <c r="D160" s="175" t="s">
        <v>162</v>
      </c>
      <c r="E160" s="880" t="s">
        <v>166</v>
      </c>
      <c r="F160" s="881" t="s">
        <v>166</v>
      </c>
      <c r="G160" s="882" t="s">
        <v>166</v>
      </c>
      <c r="H160" s="344" t="s">
        <v>813</v>
      </c>
      <c r="I160" s="344" t="s">
        <v>814</v>
      </c>
    </row>
    <row r="161" spans="1:9" x14ac:dyDescent="0.25">
      <c r="A161" s="10"/>
      <c r="B161" s="11"/>
      <c r="C161" s="11"/>
      <c r="D161" s="175" t="s">
        <v>163</v>
      </c>
      <c r="E161" s="880">
        <v>2.3E-2</v>
      </c>
      <c r="F161" s="881">
        <v>2.5000000000000001E-2</v>
      </c>
      <c r="G161" s="882">
        <v>2.8000000000000001E-2</v>
      </c>
      <c r="H161" s="344" t="s">
        <v>813</v>
      </c>
      <c r="I161" s="344" t="s">
        <v>814</v>
      </c>
    </row>
    <row r="162" spans="1:9" x14ac:dyDescent="0.25">
      <c r="A162" s="10"/>
      <c r="B162" s="11"/>
      <c r="C162" s="11"/>
      <c r="D162" s="175" t="s">
        <v>164</v>
      </c>
      <c r="E162" s="880">
        <v>2.1000000000000001E-2</v>
      </c>
      <c r="F162" s="881">
        <v>2.1999999999999999E-2</v>
      </c>
      <c r="G162" s="882">
        <v>2.3E-2</v>
      </c>
      <c r="H162" s="344" t="s">
        <v>813</v>
      </c>
      <c r="I162" s="344" t="s">
        <v>814</v>
      </c>
    </row>
    <row r="163" spans="1:9" x14ac:dyDescent="0.25">
      <c r="A163" s="10"/>
      <c r="B163" s="11"/>
      <c r="C163" s="11"/>
      <c r="D163" s="175" t="s">
        <v>165</v>
      </c>
      <c r="E163" s="880">
        <v>2.1000000000000001E-2</v>
      </c>
      <c r="F163" s="881">
        <v>2.3E-2</v>
      </c>
      <c r="G163" s="882">
        <v>2.3E-2</v>
      </c>
      <c r="H163" s="344" t="s">
        <v>813</v>
      </c>
      <c r="I163" s="344" t="s">
        <v>814</v>
      </c>
    </row>
    <row r="164" spans="1:9" x14ac:dyDescent="0.25">
      <c r="A164" s="10"/>
      <c r="B164" s="11"/>
      <c r="C164" s="11"/>
      <c r="D164" s="175" t="s">
        <v>167</v>
      </c>
      <c r="E164" s="880" t="s">
        <v>166</v>
      </c>
      <c r="F164" s="881" t="s">
        <v>166</v>
      </c>
      <c r="G164" s="882" t="s">
        <v>166</v>
      </c>
      <c r="H164" s="344" t="s">
        <v>813</v>
      </c>
      <c r="I164" s="344" t="s">
        <v>814</v>
      </c>
    </row>
    <row r="165" spans="1:9" x14ac:dyDescent="0.25">
      <c r="A165" s="10"/>
      <c r="B165" s="11"/>
      <c r="C165" s="11"/>
      <c r="D165" s="175"/>
      <c r="E165" s="840"/>
      <c r="F165" s="841"/>
      <c r="G165" s="638"/>
      <c r="H165" s="222"/>
      <c r="I165" s="222"/>
    </row>
    <row r="166" spans="1:9" x14ac:dyDescent="0.25">
      <c r="A166" s="10"/>
      <c r="B166" s="11"/>
      <c r="C166" s="11"/>
      <c r="D166" s="174" t="s">
        <v>815</v>
      </c>
      <c r="E166" s="840"/>
      <c r="F166" s="841"/>
      <c r="G166" s="638"/>
      <c r="H166" s="222"/>
      <c r="I166" s="222"/>
    </row>
    <row r="167" spans="1:9" x14ac:dyDescent="0.25">
      <c r="A167" s="10"/>
      <c r="B167" s="11"/>
      <c r="C167" s="11"/>
      <c r="D167" s="175" t="s">
        <v>157</v>
      </c>
      <c r="E167" s="880">
        <v>3.2000000000000001E-2</v>
      </c>
      <c r="F167" s="881">
        <v>4.1000000000000002E-2</v>
      </c>
      <c r="G167" s="882">
        <v>3.7999999999999999E-2</v>
      </c>
      <c r="H167" s="344" t="s">
        <v>813</v>
      </c>
      <c r="I167" s="344" t="s">
        <v>814</v>
      </c>
    </row>
    <row r="168" spans="1:9" x14ac:dyDescent="0.25">
      <c r="A168" s="10"/>
      <c r="B168" s="11"/>
      <c r="C168" s="11"/>
      <c r="D168" s="175" t="s">
        <v>160</v>
      </c>
      <c r="E168" s="880">
        <v>3.1E-2</v>
      </c>
      <c r="F168" s="881">
        <v>3.1E-2</v>
      </c>
      <c r="G168" s="882">
        <v>3.7999999999999999E-2</v>
      </c>
      <c r="H168" s="344" t="s">
        <v>813</v>
      </c>
      <c r="I168" s="344" t="s">
        <v>814</v>
      </c>
    </row>
    <row r="169" spans="1:9" x14ac:dyDescent="0.25">
      <c r="A169" s="10"/>
      <c r="B169" s="11"/>
      <c r="C169" s="11"/>
      <c r="D169" s="179" t="s">
        <v>161</v>
      </c>
      <c r="E169" s="880">
        <v>3.2000000000000001E-2</v>
      </c>
      <c r="F169" s="881">
        <v>3.2000000000000001E-2</v>
      </c>
      <c r="G169" s="882">
        <v>3.6999999999999998E-2</v>
      </c>
      <c r="H169" s="344" t="s">
        <v>813</v>
      </c>
      <c r="I169" s="344" t="s">
        <v>814</v>
      </c>
    </row>
    <row r="170" spans="1:9" x14ac:dyDescent="0.25">
      <c r="A170" s="10"/>
      <c r="B170" s="11"/>
      <c r="C170" s="11"/>
      <c r="D170" s="175" t="s">
        <v>162</v>
      </c>
      <c r="E170" s="880" t="s">
        <v>166</v>
      </c>
      <c r="F170" s="881" t="s">
        <v>166</v>
      </c>
      <c r="G170" s="882" t="s">
        <v>166</v>
      </c>
      <c r="H170" s="344" t="s">
        <v>813</v>
      </c>
      <c r="I170" s="344" t="s">
        <v>814</v>
      </c>
    </row>
    <row r="171" spans="1:9" x14ac:dyDescent="0.25">
      <c r="A171" s="10"/>
      <c r="B171" s="11"/>
      <c r="C171" s="11"/>
      <c r="D171" s="175" t="s">
        <v>163</v>
      </c>
      <c r="E171" s="880">
        <v>3.2000000000000001E-2</v>
      </c>
      <c r="F171" s="881">
        <v>3.2000000000000001E-2</v>
      </c>
      <c r="G171" s="882">
        <v>3.4000000000000002E-2</v>
      </c>
      <c r="H171" s="344" t="s">
        <v>813</v>
      </c>
      <c r="I171" s="344" t="s">
        <v>814</v>
      </c>
    </row>
    <row r="172" spans="1:9" x14ac:dyDescent="0.25">
      <c r="A172" s="10"/>
      <c r="B172" s="11"/>
      <c r="C172" s="11"/>
      <c r="D172" s="175" t="s">
        <v>164</v>
      </c>
      <c r="E172" s="880">
        <v>2.9000000000000001E-2</v>
      </c>
      <c r="F172" s="881">
        <v>2.9000000000000001E-2</v>
      </c>
      <c r="G172" s="882">
        <v>2.9000000000000001E-2</v>
      </c>
      <c r="H172" s="344" t="s">
        <v>813</v>
      </c>
      <c r="I172" s="344" t="s">
        <v>814</v>
      </c>
    </row>
    <row r="173" spans="1:9" x14ac:dyDescent="0.25">
      <c r="A173" s="10"/>
      <c r="B173" s="11"/>
      <c r="C173" s="11"/>
      <c r="D173" s="175" t="s">
        <v>165</v>
      </c>
      <c r="E173" s="880">
        <v>2.9000000000000001E-2</v>
      </c>
      <c r="F173" s="881">
        <v>2.9000000000000001E-2</v>
      </c>
      <c r="G173" s="882">
        <v>2.8000000000000001E-2</v>
      </c>
      <c r="H173" s="344" t="s">
        <v>813</v>
      </c>
      <c r="I173" s="344" t="s">
        <v>814</v>
      </c>
    </row>
    <row r="174" spans="1:9" x14ac:dyDescent="0.25">
      <c r="A174" s="10"/>
      <c r="B174" s="11"/>
      <c r="C174" s="11"/>
      <c r="D174" s="175" t="s">
        <v>167</v>
      </c>
      <c r="E174" s="880" t="s">
        <v>166</v>
      </c>
      <c r="F174" s="881" t="s">
        <v>166</v>
      </c>
      <c r="G174" s="882" t="s">
        <v>166</v>
      </c>
      <c r="H174" s="344" t="s">
        <v>813</v>
      </c>
      <c r="I174" s="344" t="s">
        <v>814</v>
      </c>
    </row>
    <row r="175" spans="1:9" x14ac:dyDescent="0.25">
      <c r="A175" s="10"/>
      <c r="B175" s="11"/>
      <c r="C175" s="11"/>
      <c r="D175" s="33"/>
      <c r="E175" s="806"/>
      <c r="F175" s="807"/>
      <c r="G175" s="571"/>
      <c r="H175" s="222"/>
      <c r="I175" s="222"/>
    </row>
    <row r="176" spans="1:9" x14ac:dyDescent="0.25">
      <c r="A176" s="10"/>
      <c r="B176" s="11"/>
      <c r="C176" s="11"/>
      <c r="D176" s="174" t="s">
        <v>170</v>
      </c>
      <c r="E176" s="806"/>
      <c r="F176" s="807"/>
      <c r="G176" s="571"/>
      <c r="H176" s="222"/>
      <c r="I176" s="222"/>
    </row>
    <row r="177" spans="1:9" x14ac:dyDescent="0.25">
      <c r="A177" s="10"/>
      <c r="B177" s="11"/>
      <c r="C177" s="11"/>
      <c r="D177" s="179" t="s">
        <v>171</v>
      </c>
      <c r="E177" s="884">
        <v>30</v>
      </c>
      <c r="F177" s="885">
        <v>30</v>
      </c>
      <c r="G177" s="684">
        <v>30</v>
      </c>
      <c r="H177" s="344" t="s">
        <v>813</v>
      </c>
      <c r="I177" s="344" t="s">
        <v>814</v>
      </c>
    </row>
    <row r="178" spans="1:9" x14ac:dyDescent="0.25">
      <c r="A178" s="10"/>
      <c r="B178" s="11"/>
      <c r="C178" s="11"/>
      <c r="D178" s="179" t="s">
        <v>173</v>
      </c>
      <c r="E178" s="886">
        <v>3.2000000000000001E-2</v>
      </c>
      <c r="F178" s="887">
        <v>3.15E-2</v>
      </c>
      <c r="G178" s="687">
        <v>3.2500000000000001E-2</v>
      </c>
      <c r="H178" s="344" t="s">
        <v>813</v>
      </c>
      <c r="I178" s="344" t="s">
        <v>814</v>
      </c>
    </row>
    <row r="179" spans="1:9" x14ac:dyDescent="0.25">
      <c r="A179" s="10"/>
      <c r="B179" s="11"/>
      <c r="C179" s="11"/>
      <c r="D179" s="33"/>
      <c r="E179" s="806"/>
      <c r="F179" s="807"/>
      <c r="G179" s="571"/>
      <c r="H179" s="222"/>
      <c r="I179" s="222"/>
    </row>
    <row r="180" spans="1:9" x14ac:dyDescent="0.25">
      <c r="A180" s="10"/>
      <c r="B180" s="11"/>
      <c r="C180" s="11"/>
      <c r="D180" s="33"/>
      <c r="E180" s="806"/>
      <c r="F180" s="807"/>
      <c r="G180" s="571"/>
      <c r="H180" s="222"/>
      <c r="I180" s="222"/>
    </row>
    <row r="181" spans="1:9" s="44" customFormat="1" x14ac:dyDescent="0.25">
      <c r="A181" s="39"/>
      <c r="B181" s="32"/>
      <c r="C181" s="32"/>
      <c r="D181" s="110" t="s">
        <v>174</v>
      </c>
      <c r="E181" s="850">
        <f>-757+579</f>
        <v>-178</v>
      </c>
      <c r="F181" s="851">
        <f>-1142-237</f>
        <v>-1379</v>
      </c>
      <c r="G181" s="614">
        <f>-899+164</f>
        <v>-735</v>
      </c>
      <c r="H181" s="888" t="s">
        <v>384</v>
      </c>
      <c r="I181" s="889" t="s">
        <v>384</v>
      </c>
    </row>
    <row r="182" spans="1:9" x14ac:dyDescent="0.25">
      <c r="A182" s="10"/>
      <c r="B182" s="11"/>
      <c r="C182" s="11"/>
      <c r="D182" s="190" t="s">
        <v>176</v>
      </c>
      <c r="E182" s="890">
        <v>440</v>
      </c>
      <c r="F182" s="891">
        <v>388</v>
      </c>
      <c r="G182" s="666">
        <v>342</v>
      </c>
      <c r="H182" s="88" t="s">
        <v>810</v>
      </c>
      <c r="I182" s="88" t="s">
        <v>816</v>
      </c>
    </row>
    <row r="183" spans="1:9" x14ac:dyDescent="0.25">
      <c r="A183" s="10"/>
      <c r="B183" s="11"/>
      <c r="C183" s="11"/>
      <c r="D183" s="190" t="s">
        <v>179</v>
      </c>
      <c r="E183" s="890">
        <v>-1325</v>
      </c>
      <c r="F183" s="891">
        <v>-1718</v>
      </c>
      <c r="G183" s="666">
        <v>-1302</v>
      </c>
      <c r="H183" s="88" t="s">
        <v>810</v>
      </c>
      <c r="I183" s="88" t="s">
        <v>817</v>
      </c>
    </row>
    <row r="184" spans="1:9" s="44" customFormat="1" x14ac:dyDescent="0.25">
      <c r="A184" s="39"/>
      <c r="B184" s="32"/>
      <c r="C184" s="32"/>
      <c r="D184" s="190" t="s">
        <v>182</v>
      </c>
      <c r="E184" s="870">
        <v>579</v>
      </c>
      <c r="F184" s="871">
        <v>-237</v>
      </c>
      <c r="G184" s="651">
        <v>164</v>
      </c>
      <c r="H184" s="88" t="s">
        <v>818</v>
      </c>
      <c r="I184" s="88" t="s">
        <v>811</v>
      </c>
    </row>
    <row r="185" spans="1:9" x14ac:dyDescent="0.25">
      <c r="A185" s="10"/>
      <c r="B185" s="11"/>
      <c r="C185" s="11"/>
      <c r="D185" s="190" t="s">
        <v>129</v>
      </c>
      <c r="E185" s="890">
        <f>115+13</f>
        <v>128</v>
      </c>
      <c r="F185" s="891">
        <f>172 + 16</f>
        <v>188</v>
      </c>
      <c r="G185" s="666">
        <f>139+(-78)</f>
        <v>61</v>
      </c>
      <c r="H185" s="88" t="s">
        <v>810</v>
      </c>
      <c r="I185" s="88" t="s">
        <v>819</v>
      </c>
    </row>
    <row r="186" spans="1:9" ht="15.75" thickBot="1" x14ac:dyDescent="0.3">
      <c r="A186" s="10"/>
      <c r="B186" s="11"/>
      <c r="C186" s="11"/>
      <c r="D186" s="190"/>
      <c r="E186" s="878">
        <f>SUM(E182:E185)</f>
        <v>-178</v>
      </c>
      <c r="F186" s="879">
        <f>SUM(F182:F185)</f>
        <v>-1379</v>
      </c>
      <c r="G186" s="671">
        <f>SUM(G182:G185)</f>
        <v>-735</v>
      </c>
      <c r="H186" s="43"/>
      <c r="I186" s="120"/>
    </row>
    <row r="187" spans="1:9" ht="15.75" thickTop="1" x14ac:dyDescent="0.25">
      <c r="A187" s="10"/>
      <c r="B187" s="11"/>
      <c r="C187" s="11"/>
      <c r="D187" s="190"/>
      <c r="E187" s="825" t="b">
        <f>E181=E186</f>
        <v>1</v>
      </c>
      <c r="F187" s="826" t="b">
        <f>F181=F186</f>
        <v>1</v>
      </c>
      <c r="G187" s="673" t="b">
        <f>G181=G186</f>
        <v>1</v>
      </c>
      <c r="H187" s="43"/>
      <c r="I187" s="120"/>
    </row>
    <row r="188" spans="1:9" x14ac:dyDescent="0.25">
      <c r="A188" s="10"/>
      <c r="B188" s="11"/>
      <c r="C188" s="11"/>
      <c r="D188" s="190"/>
      <c r="E188" s="890"/>
      <c r="F188" s="891"/>
      <c r="G188" s="666"/>
      <c r="H188" s="43"/>
      <c r="I188" s="120"/>
    </row>
    <row r="189" spans="1:9" ht="15.75" thickBot="1" x14ac:dyDescent="0.3">
      <c r="A189" s="10"/>
      <c r="B189" s="11"/>
      <c r="C189" s="11"/>
      <c r="D189" s="199" t="s">
        <v>185</v>
      </c>
      <c r="E189" s="892">
        <v>1936</v>
      </c>
      <c r="F189" s="893">
        <v>1532</v>
      </c>
      <c r="G189" s="697">
        <v>648</v>
      </c>
      <c r="H189" s="43" t="s">
        <v>790</v>
      </c>
      <c r="I189" s="120"/>
    </row>
    <row r="190" spans="1:9" ht="15.75" thickTop="1" x14ac:dyDescent="0.25">
      <c r="A190" s="10"/>
      <c r="B190" s="11"/>
      <c r="C190" s="11"/>
      <c r="D190" s="190"/>
      <c r="E190" s="825" t="b">
        <f>E189-SUM(E83,E123,E125,E181)=0</f>
        <v>1</v>
      </c>
      <c r="F190" s="826" t="b">
        <f>F189-SUM(F83,F123,F125,F181)=0</f>
        <v>1</v>
      </c>
      <c r="G190" s="673" t="b">
        <f>G189-SUM(G83,G123,G125,G181)=0</f>
        <v>1</v>
      </c>
      <c r="H190" s="638"/>
      <c r="I190" s="120"/>
    </row>
    <row r="191" spans="1:9" x14ac:dyDescent="0.25">
      <c r="A191" s="10"/>
      <c r="B191" s="11"/>
      <c r="C191" s="11"/>
      <c r="D191" s="203"/>
      <c r="E191" s="840"/>
      <c r="F191" s="841"/>
      <c r="G191" s="638"/>
      <c r="H191" s="638"/>
      <c r="I191" s="120"/>
    </row>
    <row r="192" spans="1:9" x14ac:dyDescent="0.25">
      <c r="A192" s="10"/>
      <c r="B192" s="25" t="s">
        <v>186</v>
      </c>
      <c r="C192" s="26"/>
      <c r="D192" s="27"/>
      <c r="E192" s="797"/>
      <c r="F192" s="798"/>
      <c r="G192" s="557"/>
      <c r="H192" s="557"/>
      <c r="I192" s="31"/>
    </row>
    <row r="193" spans="1:9" x14ac:dyDescent="0.25">
      <c r="A193" s="10"/>
      <c r="B193" s="204" t="s">
        <v>187</v>
      </c>
      <c r="C193" s="204"/>
      <c r="D193" s="205"/>
      <c r="E193" s="894"/>
      <c r="F193" s="895"/>
      <c r="G193" s="700"/>
      <c r="H193" s="700"/>
      <c r="I193" s="209"/>
    </row>
    <row r="194" spans="1:9" x14ac:dyDescent="0.25">
      <c r="A194" s="10"/>
      <c r="B194" s="11"/>
      <c r="C194" s="104" t="s">
        <v>188</v>
      </c>
      <c r="D194" s="105"/>
      <c r="E194" s="848"/>
      <c r="F194" s="849"/>
      <c r="G194" s="612"/>
      <c r="H194" s="612"/>
      <c r="I194" s="109"/>
    </row>
    <row r="195" spans="1:9" x14ac:dyDescent="0.25">
      <c r="A195" s="39"/>
      <c r="B195" s="32"/>
      <c r="C195" s="32"/>
      <c r="D195" s="210" t="s">
        <v>189</v>
      </c>
      <c r="E195" s="896">
        <v>6972</v>
      </c>
      <c r="F195" s="897">
        <v>6850</v>
      </c>
      <c r="G195" s="213">
        <v>6228</v>
      </c>
      <c r="H195" s="43" t="s">
        <v>820</v>
      </c>
      <c r="I195" s="43" t="s">
        <v>821</v>
      </c>
    </row>
    <row r="196" spans="1:9" x14ac:dyDescent="0.25">
      <c r="A196" s="10"/>
      <c r="B196" s="11"/>
      <c r="C196" s="11"/>
      <c r="D196" s="190" t="s">
        <v>192</v>
      </c>
      <c r="E196" s="898">
        <v>659</v>
      </c>
      <c r="F196" s="899">
        <v>673</v>
      </c>
      <c r="G196" s="216">
        <v>803</v>
      </c>
      <c r="H196" s="43" t="s">
        <v>820</v>
      </c>
      <c r="I196" s="43" t="s">
        <v>821</v>
      </c>
    </row>
    <row r="197" spans="1:9" x14ac:dyDescent="0.25">
      <c r="A197" s="10"/>
      <c r="B197" s="11"/>
      <c r="C197" s="11"/>
      <c r="D197" s="190" t="s">
        <v>194</v>
      </c>
      <c r="E197" s="898">
        <v>0</v>
      </c>
      <c r="F197" s="899">
        <v>0</v>
      </c>
      <c r="G197" s="216">
        <v>0</v>
      </c>
      <c r="H197" s="43" t="s">
        <v>820</v>
      </c>
      <c r="I197" s="43" t="s">
        <v>821</v>
      </c>
    </row>
    <row r="198" spans="1:9" x14ac:dyDescent="0.25">
      <c r="A198" s="10"/>
      <c r="B198" s="11"/>
      <c r="C198" s="11"/>
      <c r="D198" s="190" t="s">
        <v>195</v>
      </c>
      <c r="E198" s="898">
        <v>80</v>
      </c>
      <c r="F198" s="899">
        <v>67</v>
      </c>
      <c r="G198" s="216">
        <v>62</v>
      </c>
      <c r="H198" s="43" t="s">
        <v>820</v>
      </c>
      <c r="I198" s="43" t="s">
        <v>821</v>
      </c>
    </row>
    <row r="199" spans="1:9" x14ac:dyDescent="0.25">
      <c r="A199" s="10"/>
      <c r="B199" s="11"/>
      <c r="C199" s="11"/>
      <c r="D199" s="190" t="s">
        <v>197</v>
      </c>
      <c r="E199" s="898">
        <v>1105</v>
      </c>
      <c r="F199" s="899">
        <v>191</v>
      </c>
      <c r="G199" s="216">
        <v>663</v>
      </c>
      <c r="H199" s="43" t="s">
        <v>820</v>
      </c>
      <c r="I199" s="43" t="s">
        <v>821</v>
      </c>
    </row>
    <row r="200" spans="1:9" x14ac:dyDescent="0.25">
      <c r="A200" s="10"/>
      <c r="B200" s="11"/>
      <c r="C200" s="11"/>
      <c r="D200" s="190" t="s">
        <v>198</v>
      </c>
      <c r="E200" s="898">
        <v>-857</v>
      </c>
      <c r="F200" s="899">
        <v>-778</v>
      </c>
      <c r="G200" s="216">
        <v>-771</v>
      </c>
      <c r="H200" s="43" t="s">
        <v>820</v>
      </c>
      <c r="I200" s="43" t="s">
        <v>821</v>
      </c>
    </row>
    <row r="201" spans="1:9" x14ac:dyDescent="0.25">
      <c r="A201" s="10"/>
      <c r="B201" s="11"/>
      <c r="C201" s="11"/>
      <c r="D201" s="190" t="s">
        <v>201</v>
      </c>
      <c r="E201" s="898">
        <v>-56</v>
      </c>
      <c r="F201" s="899">
        <v>-79</v>
      </c>
      <c r="G201" s="216">
        <v>-135</v>
      </c>
      <c r="H201" s="43" t="s">
        <v>820</v>
      </c>
      <c r="I201" s="43" t="s">
        <v>821</v>
      </c>
    </row>
    <row r="202" spans="1:9" x14ac:dyDescent="0.25">
      <c r="A202" s="10"/>
      <c r="B202" s="11"/>
      <c r="C202" s="11"/>
      <c r="D202" s="190" t="s">
        <v>202</v>
      </c>
      <c r="E202" s="898">
        <v>47</v>
      </c>
      <c r="F202" s="899">
        <v>48</v>
      </c>
      <c r="G202" s="216">
        <v>0</v>
      </c>
      <c r="H202" s="43" t="s">
        <v>820</v>
      </c>
      <c r="I202" s="43" t="s">
        <v>821</v>
      </c>
    </row>
    <row r="203" spans="1:9" ht="15.75" thickBot="1" x14ac:dyDescent="0.3">
      <c r="A203" s="39"/>
      <c r="B203" s="32"/>
      <c r="C203" s="32"/>
      <c r="D203" s="210" t="s">
        <v>204</v>
      </c>
      <c r="E203" s="900">
        <v>7950</v>
      </c>
      <c r="F203" s="901">
        <v>6972</v>
      </c>
      <c r="G203" s="219">
        <v>6850</v>
      </c>
      <c r="H203" s="43" t="s">
        <v>820</v>
      </c>
      <c r="I203" s="43" t="s">
        <v>821</v>
      </c>
    </row>
    <row r="204" spans="1:9" ht="15.75" thickTop="1" x14ac:dyDescent="0.25">
      <c r="A204" s="39"/>
      <c r="B204" s="32"/>
      <c r="C204" s="32"/>
      <c r="D204" s="210"/>
      <c r="E204" s="902" t="b">
        <f>SUM(E195:E202)=E203</f>
        <v>1</v>
      </c>
      <c r="F204" s="903" t="b">
        <f>SUM(F195:F202)=F203</f>
        <v>1</v>
      </c>
      <c r="G204" s="705" t="b">
        <f>SUM(G195:G202)=G203</f>
        <v>1</v>
      </c>
      <c r="H204" s="222"/>
      <c r="I204" s="120"/>
    </row>
    <row r="205" spans="1:9" x14ac:dyDescent="0.25">
      <c r="A205" s="39"/>
      <c r="B205" s="32"/>
      <c r="C205" s="32"/>
      <c r="D205" s="210"/>
      <c r="E205" s="902" t="b">
        <f>+E200=-E84</f>
        <v>1</v>
      </c>
      <c r="F205" s="903" t="b">
        <f>+F200=-F84</f>
        <v>1</v>
      </c>
      <c r="G205" s="705" t="b">
        <f>+G200=-G84</f>
        <v>0</v>
      </c>
      <c r="H205" s="222"/>
      <c r="I205" s="74" t="s">
        <v>822</v>
      </c>
    </row>
    <row r="206" spans="1:9" x14ac:dyDescent="0.25">
      <c r="A206" s="39"/>
      <c r="B206" s="32"/>
      <c r="C206" s="32"/>
      <c r="D206" s="210"/>
      <c r="E206" s="902" t="b">
        <f>E203=E30</f>
        <v>1</v>
      </c>
      <c r="F206" s="903" t="b">
        <f>F203=F30</f>
        <v>1</v>
      </c>
      <c r="G206" s="705" t="b">
        <f>G203=G30</f>
        <v>1</v>
      </c>
      <c r="H206" s="222"/>
      <c r="I206" s="120"/>
    </row>
    <row r="207" spans="1:9" x14ac:dyDescent="0.25">
      <c r="A207" s="39"/>
      <c r="B207" s="32"/>
      <c r="C207" s="32"/>
      <c r="D207" s="210"/>
      <c r="E207" s="904"/>
      <c r="F207" s="905"/>
      <c r="G207" s="906"/>
      <c r="H207" s="222"/>
      <c r="I207" s="120"/>
    </row>
    <row r="208" spans="1:9" outlineLevel="1" x14ac:dyDescent="0.25">
      <c r="A208" s="39"/>
      <c r="B208" s="32"/>
      <c r="C208" s="223" t="s">
        <v>205</v>
      </c>
      <c r="D208" s="224"/>
      <c r="E208" s="907"/>
      <c r="F208" s="908"/>
      <c r="G208" s="227"/>
      <c r="H208" s="228"/>
      <c r="I208" s="228"/>
    </row>
    <row r="209" spans="1:9" outlineLevel="1" x14ac:dyDescent="0.25">
      <c r="A209" s="39"/>
      <c r="B209" s="32"/>
      <c r="C209" s="32"/>
      <c r="D209" s="229" t="s">
        <v>206</v>
      </c>
      <c r="E209" s="909">
        <v>495</v>
      </c>
      <c r="F209" s="910">
        <v>355</v>
      </c>
      <c r="G209" s="911">
        <v>341</v>
      </c>
      <c r="H209" s="48" t="s">
        <v>823</v>
      </c>
      <c r="I209" s="48"/>
    </row>
    <row r="210" spans="1:9" outlineLevel="1" x14ac:dyDescent="0.25">
      <c r="A210" s="39"/>
      <c r="B210" s="32"/>
      <c r="C210" s="32"/>
      <c r="D210" s="229" t="s">
        <v>515</v>
      </c>
      <c r="E210" s="909">
        <f>3627+1008+1838</f>
        <v>6473</v>
      </c>
      <c r="F210" s="910">
        <f>1182+3573+1733</f>
        <v>6488</v>
      </c>
      <c r="G210" s="912">
        <f>3110+1650+1126</f>
        <v>5886</v>
      </c>
      <c r="H210" s="48" t="s">
        <v>823</v>
      </c>
      <c r="I210" s="48"/>
    </row>
    <row r="211" spans="1:9" outlineLevel="1" x14ac:dyDescent="0.25">
      <c r="A211" s="39"/>
      <c r="B211" s="32"/>
      <c r="C211" s="32"/>
      <c r="D211" s="229" t="s">
        <v>518</v>
      </c>
      <c r="E211" s="909">
        <f>1008+1838</f>
        <v>2846</v>
      </c>
      <c r="F211" s="910"/>
      <c r="G211" s="912"/>
      <c r="H211" s="48" t="s">
        <v>823</v>
      </c>
      <c r="I211" s="48"/>
    </row>
    <row r="212" spans="1:9" outlineLevel="1" x14ac:dyDescent="0.25">
      <c r="A212" s="39"/>
      <c r="B212" s="32"/>
      <c r="C212" s="32"/>
      <c r="D212" s="229"/>
      <c r="E212" s="913"/>
      <c r="F212" s="914"/>
      <c r="G212" s="484"/>
      <c r="H212" s="48"/>
      <c r="I212" s="48"/>
    </row>
    <row r="213" spans="1:9" outlineLevel="1" x14ac:dyDescent="0.25">
      <c r="A213" s="39"/>
      <c r="B213" s="32"/>
      <c r="C213" s="11"/>
      <c r="D213" s="234" t="s">
        <v>214</v>
      </c>
      <c r="E213" s="915">
        <v>83</v>
      </c>
      <c r="F213" s="916">
        <v>146</v>
      </c>
      <c r="G213" s="487"/>
      <c r="H213" s="48"/>
      <c r="I213" s="48"/>
    </row>
    <row r="214" spans="1:9" outlineLevel="1" x14ac:dyDescent="0.25">
      <c r="A214" s="39"/>
      <c r="B214" s="32"/>
      <c r="C214" s="11"/>
      <c r="D214" s="234" t="s">
        <v>521</v>
      </c>
      <c r="E214" s="915">
        <f>159+305+112</f>
        <v>576</v>
      </c>
      <c r="F214" s="916">
        <f>99+292+132</f>
        <v>523</v>
      </c>
      <c r="G214" s="917"/>
      <c r="H214" s="48"/>
      <c r="I214" s="48"/>
    </row>
    <row r="215" spans="1:9" outlineLevel="1" x14ac:dyDescent="0.25">
      <c r="A215" s="39"/>
      <c r="B215" s="32"/>
      <c r="C215" s="11"/>
      <c r="D215" s="234" t="s">
        <v>522</v>
      </c>
      <c r="E215" s="915"/>
      <c r="F215" s="916"/>
      <c r="G215" s="917"/>
      <c r="H215" s="48"/>
      <c r="I215" s="48"/>
    </row>
    <row r="216" spans="1:9" outlineLevel="1" x14ac:dyDescent="0.25">
      <c r="A216" s="39"/>
      <c r="B216" s="32"/>
      <c r="C216" s="11"/>
      <c r="D216" s="234"/>
      <c r="E216" s="915"/>
      <c r="F216" s="916"/>
      <c r="G216" s="487"/>
      <c r="H216" s="48"/>
      <c r="I216" s="48"/>
    </row>
    <row r="217" spans="1:9" outlineLevel="1" x14ac:dyDescent="0.25">
      <c r="A217" s="39"/>
      <c r="B217" s="32"/>
      <c r="C217" s="11"/>
      <c r="D217" s="234" t="s">
        <v>218</v>
      </c>
      <c r="E217" s="915">
        <v>0</v>
      </c>
      <c r="F217" s="916">
        <v>0</v>
      </c>
      <c r="G217" s="487"/>
      <c r="H217" s="48"/>
      <c r="I217" s="48"/>
    </row>
    <row r="218" spans="1:9" outlineLevel="1" x14ac:dyDescent="0.25">
      <c r="A218" s="39"/>
      <c r="B218" s="32"/>
      <c r="C218" s="11"/>
      <c r="D218" s="234" t="s">
        <v>523</v>
      </c>
      <c r="E218" s="915">
        <v>0</v>
      </c>
      <c r="F218" s="916">
        <v>0</v>
      </c>
      <c r="G218" s="917"/>
      <c r="H218" s="48"/>
      <c r="I218" s="48"/>
    </row>
    <row r="219" spans="1:9" outlineLevel="1" x14ac:dyDescent="0.25">
      <c r="A219" s="39"/>
      <c r="B219" s="32"/>
      <c r="C219" s="11"/>
      <c r="D219" s="234" t="s">
        <v>524</v>
      </c>
      <c r="E219" s="915"/>
      <c r="F219" s="916"/>
      <c r="G219" s="917"/>
      <c r="H219" s="48"/>
      <c r="I219" s="48"/>
    </row>
    <row r="220" spans="1:9" outlineLevel="1" x14ac:dyDescent="0.25">
      <c r="A220" s="39"/>
      <c r="B220" s="32"/>
      <c r="C220" s="11"/>
      <c r="D220" s="234"/>
      <c r="E220" s="915"/>
      <c r="F220" s="916"/>
      <c r="G220" s="487"/>
      <c r="H220" s="48"/>
      <c r="I220" s="48"/>
    </row>
    <row r="221" spans="1:9" outlineLevel="1" x14ac:dyDescent="0.25">
      <c r="A221" s="39"/>
      <c r="B221" s="32"/>
      <c r="C221" s="11"/>
      <c r="D221" s="234" t="s">
        <v>221</v>
      </c>
      <c r="E221" s="915">
        <v>7</v>
      </c>
      <c r="F221" s="916">
        <v>6</v>
      </c>
      <c r="G221" s="917"/>
      <c r="H221" s="48"/>
      <c r="I221" s="48"/>
    </row>
    <row r="222" spans="1:9" outlineLevel="1" x14ac:dyDescent="0.25">
      <c r="A222" s="39"/>
      <c r="B222" s="32"/>
      <c r="C222" s="11"/>
      <c r="D222" s="234" t="s">
        <v>525</v>
      </c>
      <c r="E222" s="915">
        <f>32+37+4</f>
        <v>73</v>
      </c>
      <c r="F222" s="916">
        <f>25+31+4</f>
        <v>60</v>
      </c>
      <c r="G222" s="917"/>
      <c r="H222" s="48"/>
      <c r="I222" s="48"/>
    </row>
    <row r="223" spans="1:9" outlineLevel="1" x14ac:dyDescent="0.25">
      <c r="A223" s="39"/>
      <c r="B223" s="32"/>
      <c r="C223" s="11"/>
      <c r="D223" s="234" t="s">
        <v>526</v>
      </c>
      <c r="E223" s="915"/>
      <c r="F223" s="916"/>
      <c r="G223" s="487"/>
      <c r="H223" s="48"/>
      <c r="I223" s="48"/>
    </row>
    <row r="224" spans="1:9" outlineLevel="1" x14ac:dyDescent="0.25">
      <c r="A224" s="39"/>
      <c r="B224" s="32"/>
      <c r="C224" s="11"/>
      <c r="D224" s="234"/>
      <c r="E224" s="915"/>
      <c r="F224" s="916"/>
      <c r="G224" s="487"/>
      <c r="H224" s="48"/>
      <c r="I224" s="48"/>
    </row>
    <row r="225" spans="1:9" outlineLevel="1" x14ac:dyDescent="0.25">
      <c r="A225" s="39"/>
      <c r="B225" s="32"/>
      <c r="C225" s="11"/>
      <c r="D225" s="234" t="s">
        <v>224</v>
      </c>
      <c r="E225" s="915">
        <v>-6</v>
      </c>
      <c r="F225" s="916">
        <v>-12</v>
      </c>
      <c r="G225" s="487"/>
      <c r="H225" s="48"/>
      <c r="I225" s="48"/>
    </row>
    <row r="226" spans="1:9" outlineLevel="1" x14ac:dyDescent="0.25">
      <c r="A226" s="39"/>
      <c r="B226" s="32"/>
      <c r="C226" s="11"/>
      <c r="D226" s="234" t="s">
        <v>528</v>
      </c>
      <c r="E226" s="915">
        <f>712+341+53</f>
        <v>1106</v>
      </c>
      <c r="F226" s="916">
        <f>163+81-36</f>
        <v>208</v>
      </c>
      <c r="G226" s="917"/>
      <c r="H226" s="48"/>
      <c r="I226" s="48"/>
    </row>
    <row r="227" spans="1:9" outlineLevel="1" x14ac:dyDescent="0.25">
      <c r="A227" s="39"/>
      <c r="B227" s="32"/>
      <c r="C227" s="11"/>
      <c r="D227" s="234" t="s">
        <v>529</v>
      </c>
      <c r="E227" s="915"/>
      <c r="F227" s="916"/>
      <c r="G227" s="917"/>
      <c r="H227" s="48"/>
      <c r="I227" s="48"/>
    </row>
    <row r="228" spans="1:9" outlineLevel="1" x14ac:dyDescent="0.25">
      <c r="A228" s="39"/>
      <c r="B228" s="32"/>
      <c r="C228" s="11"/>
      <c r="D228" s="234"/>
      <c r="E228" s="915"/>
      <c r="F228" s="916"/>
      <c r="G228" s="487"/>
      <c r="H228" s="48"/>
      <c r="I228" s="48"/>
    </row>
    <row r="229" spans="1:9" outlineLevel="1" x14ac:dyDescent="0.25">
      <c r="A229" s="39"/>
      <c r="B229" s="32"/>
      <c r="C229" s="11"/>
      <c r="D229" s="234" t="s">
        <v>530</v>
      </c>
      <c r="E229" s="915">
        <v>-62</v>
      </c>
      <c r="F229" s="916">
        <v>-48</v>
      </c>
      <c r="G229" s="487"/>
      <c r="H229" s="48"/>
      <c r="I229" s="48"/>
    </row>
    <row r="230" spans="1:9" outlineLevel="1" x14ac:dyDescent="0.25">
      <c r="A230" s="39"/>
      <c r="B230" s="32"/>
      <c r="C230" s="11"/>
      <c r="D230" s="234" t="s">
        <v>531</v>
      </c>
      <c r="E230" s="915">
        <f>-272-371-152</f>
        <v>-795</v>
      </c>
      <c r="F230" s="916">
        <f>-233-334-161</f>
        <v>-728</v>
      </c>
      <c r="G230" s="917"/>
      <c r="H230" s="48"/>
      <c r="I230" s="48"/>
    </row>
    <row r="231" spans="1:9" outlineLevel="1" x14ac:dyDescent="0.25">
      <c r="A231" s="39"/>
      <c r="B231" s="32"/>
      <c r="C231" s="11"/>
      <c r="D231" s="234" t="s">
        <v>532</v>
      </c>
      <c r="E231" s="915"/>
      <c r="F231" s="916"/>
      <c r="G231" s="917"/>
      <c r="H231" s="48"/>
      <c r="I231" s="48"/>
    </row>
    <row r="232" spans="1:9" outlineLevel="1" x14ac:dyDescent="0.25">
      <c r="A232" s="39"/>
      <c r="B232" s="32"/>
      <c r="C232" s="11"/>
      <c r="D232" s="234"/>
      <c r="E232" s="915"/>
      <c r="F232" s="916"/>
      <c r="G232" s="487"/>
      <c r="H232" s="48"/>
      <c r="I232" s="48"/>
    </row>
    <row r="233" spans="1:9" outlineLevel="1" x14ac:dyDescent="0.25">
      <c r="A233" s="39"/>
      <c r="B233" s="32"/>
      <c r="C233" s="11"/>
      <c r="D233" s="234" t="s">
        <v>533</v>
      </c>
      <c r="E233" s="915">
        <v>0</v>
      </c>
      <c r="F233" s="916">
        <v>0</v>
      </c>
      <c r="G233" s="487"/>
      <c r="H233" s="48"/>
      <c r="I233" s="48"/>
    </row>
    <row r="234" spans="1:9" outlineLevel="1" x14ac:dyDescent="0.25">
      <c r="A234" s="39"/>
      <c r="B234" s="32"/>
      <c r="C234" s="11"/>
      <c r="D234" s="234" t="s">
        <v>534</v>
      </c>
      <c r="E234" s="915">
        <f>-11-43</f>
        <v>-54</v>
      </c>
      <c r="F234" s="916">
        <v>0</v>
      </c>
      <c r="G234" s="917"/>
      <c r="H234" s="48"/>
      <c r="I234" s="48"/>
    </row>
    <row r="235" spans="1:9" outlineLevel="1" x14ac:dyDescent="0.25">
      <c r="A235" s="39"/>
      <c r="B235" s="32"/>
      <c r="C235" s="11"/>
      <c r="D235" s="234" t="s">
        <v>535</v>
      </c>
      <c r="E235" s="915"/>
      <c r="F235" s="916"/>
      <c r="G235" s="917"/>
      <c r="H235" s="48"/>
      <c r="I235" s="48"/>
    </row>
    <row r="236" spans="1:9" outlineLevel="1" x14ac:dyDescent="0.25">
      <c r="A236" s="39"/>
      <c r="B236" s="32"/>
      <c r="C236" s="11"/>
      <c r="D236" s="234"/>
      <c r="E236" s="915"/>
      <c r="F236" s="916"/>
      <c r="G236" s="487"/>
      <c r="H236" s="48"/>
      <c r="I236" s="48"/>
    </row>
    <row r="237" spans="1:9" outlineLevel="1" x14ac:dyDescent="0.25">
      <c r="A237" s="39"/>
      <c r="B237" s="32"/>
      <c r="C237" s="11"/>
      <c r="D237" s="234" t="s">
        <v>536</v>
      </c>
      <c r="E237" s="915">
        <v>1</v>
      </c>
      <c r="F237" s="916">
        <v>48</v>
      </c>
      <c r="G237" s="487"/>
      <c r="H237" s="48"/>
      <c r="I237" s="48"/>
    </row>
    <row r="238" spans="1:9" outlineLevel="1" x14ac:dyDescent="0.25">
      <c r="A238" s="39"/>
      <c r="B238" s="32"/>
      <c r="C238" s="11"/>
      <c r="D238" s="234" t="s">
        <v>537</v>
      </c>
      <c r="E238" s="915">
        <v>46</v>
      </c>
      <c r="F238" s="916">
        <f>35-113</f>
        <v>-78</v>
      </c>
      <c r="G238" s="917"/>
      <c r="H238" s="48"/>
      <c r="I238" s="48"/>
    </row>
    <row r="239" spans="1:9" outlineLevel="1" x14ac:dyDescent="0.25">
      <c r="A239" s="39"/>
      <c r="B239" s="32"/>
      <c r="C239" s="11"/>
      <c r="D239" s="234" t="s">
        <v>538</v>
      </c>
      <c r="E239" s="915"/>
      <c r="F239" s="916"/>
      <c r="G239" s="917"/>
      <c r="H239" s="48"/>
      <c r="I239" s="48"/>
    </row>
    <row r="240" spans="1:9" outlineLevel="1" x14ac:dyDescent="0.25">
      <c r="A240" s="39"/>
      <c r="B240" s="32"/>
      <c r="C240" s="11"/>
      <c r="D240" s="234"/>
      <c r="E240" s="915"/>
      <c r="F240" s="916"/>
      <c r="G240" s="487"/>
      <c r="H240" s="48"/>
      <c r="I240" s="48"/>
    </row>
    <row r="241" spans="1:9" ht="15.75" outlineLevel="1" thickBot="1" x14ac:dyDescent="0.3">
      <c r="A241" s="39"/>
      <c r="B241" s="32"/>
      <c r="C241" s="238">
        <f>+(E241-F241)/F241</f>
        <v>4.6464646464646465E-2</v>
      </c>
      <c r="D241" s="229" t="s">
        <v>239</v>
      </c>
      <c r="E241" s="918">
        <v>518</v>
      </c>
      <c r="F241" s="919">
        <v>495</v>
      </c>
      <c r="G241" s="920">
        <v>355</v>
      </c>
      <c r="H241" s="575" t="s">
        <v>823</v>
      </c>
      <c r="I241" s="242"/>
    </row>
    <row r="242" spans="1:9" ht="15.75" outlineLevel="1" thickTop="1" x14ac:dyDescent="0.25">
      <c r="A242" s="39"/>
      <c r="B242" s="32"/>
      <c r="C242" s="32"/>
      <c r="D242" s="229" t="s">
        <v>541</v>
      </c>
      <c r="E242" s="921">
        <f>4304+982+2139</f>
        <v>7425</v>
      </c>
      <c r="F242" s="922">
        <f>3627+1008+1838</f>
        <v>6473</v>
      </c>
      <c r="G242" s="923">
        <f>3575+1733+1182</f>
        <v>6490</v>
      </c>
      <c r="H242" s="575" t="s">
        <v>823</v>
      </c>
      <c r="I242" s="242"/>
    </row>
    <row r="243" spans="1:9" ht="15.75" outlineLevel="1" thickBot="1" x14ac:dyDescent="0.3">
      <c r="A243" s="39"/>
      <c r="B243" s="32"/>
      <c r="C243" s="32"/>
      <c r="D243" s="229" t="s">
        <v>543</v>
      </c>
      <c r="E243" s="924"/>
      <c r="F243" s="925"/>
      <c r="G243" s="926"/>
      <c r="H243" s="575" t="s">
        <v>823</v>
      </c>
      <c r="I243" s="242"/>
    </row>
    <row r="244" spans="1:9" ht="15.75" thickTop="1" x14ac:dyDescent="0.25">
      <c r="A244" s="39"/>
      <c r="B244" s="32"/>
      <c r="C244" s="32"/>
      <c r="D244" s="210"/>
      <c r="E244" s="833"/>
      <c r="F244" s="221"/>
      <c r="G244" s="86"/>
      <c r="H244" s="86"/>
      <c r="I244" s="120"/>
    </row>
    <row r="245" spans="1:9" x14ac:dyDescent="0.25">
      <c r="A245" s="10"/>
      <c r="B245" s="246"/>
      <c r="C245" s="104" t="s">
        <v>244</v>
      </c>
      <c r="D245" s="247"/>
      <c r="E245" s="927"/>
      <c r="F245" s="928"/>
      <c r="G245" s="709"/>
      <c r="H245" s="709"/>
      <c r="I245" s="109"/>
    </row>
    <row r="246" spans="1:9" x14ac:dyDescent="0.25">
      <c r="A246" s="10"/>
      <c r="B246" s="246"/>
      <c r="C246" s="246"/>
      <c r="D246" s="251" t="s">
        <v>245</v>
      </c>
      <c r="E246" s="890">
        <v>687</v>
      </c>
      <c r="F246" s="891">
        <f>80+116+502</f>
        <v>698</v>
      </c>
      <c r="G246" s="662">
        <f>66+124+528</f>
        <v>718</v>
      </c>
      <c r="H246" s="344" t="s">
        <v>824</v>
      </c>
      <c r="I246" s="43" t="s">
        <v>825</v>
      </c>
    </row>
    <row r="247" spans="1:9" x14ac:dyDescent="0.25">
      <c r="A247" s="10"/>
      <c r="B247" s="246"/>
      <c r="C247" s="246"/>
      <c r="D247" s="251" t="s">
        <v>248</v>
      </c>
      <c r="E247" s="890">
        <v>590</v>
      </c>
      <c r="F247" s="891">
        <v>586</v>
      </c>
      <c r="G247" s="662">
        <v>607</v>
      </c>
      <c r="H247" s="344" t="s">
        <v>824</v>
      </c>
      <c r="I247" s="43" t="s">
        <v>825</v>
      </c>
    </row>
    <row r="248" spans="1:9" x14ac:dyDescent="0.25">
      <c r="A248" s="10"/>
      <c r="B248" s="246"/>
      <c r="C248" s="246"/>
      <c r="D248" s="251" t="s">
        <v>249</v>
      </c>
      <c r="E248" s="890">
        <v>529</v>
      </c>
      <c r="F248" s="891">
        <v>528</v>
      </c>
      <c r="G248" s="662">
        <v>529</v>
      </c>
      <c r="H248" s="344" t="s">
        <v>824</v>
      </c>
      <c r="I248" s="43" t="s">
        <v>825</v>
      </c>
    </row>
    <row r="249" spans="1:9" x14ac:dyDescent="0.25">
      <c r="A249" s="10"/>
      <c r="B249" s="246"/>
      <c r="C249" s="246"/>
      <c r="D249" s="251" t="s">
        <v>250</v>
      </c>
      <c r="E249" s="890">
        <v>479</v>
      </c>
      <c r="F249" s="891">
        <v>479</v>
      </c>
      <c r="G249" s="662">
        <v>475</v>
      </c>
      <c r="H249" s="344" t="s">
        <v>824</v>
      </c>
      <c r="I249" s="43" t="s">
        <v>825</v>
      </c>
    </row>
    <row r="250" spans="1:9" x14ac:dyDescent="0.25">
      <c r="A250" s="10"/>
      <c r="B250" s="246"/>
      <c r="C250" s="246"/>
      <c r="D250" s="251" t="s">
        <v>251</v>
      </c>
      <c r="E250" s="890">
        <v>440</v>
      </c>
      <c r="F250" s="891">
        <v>436</v>
      </c>
      <c r="G250" s="662">
        <v>427</v>
      </c>
      <c r="H250" s="344" t="s">
        <v>824</v>
      </c>
      <c r="I250" s="43" t="s">
        <v>825</v>
      </c>
    </row>
    <row r="251" spans="1:9" x14ac:dyDescent="0.25">
      <c r="A251" s="10"/>
      <c r="B251" s="246"/>
      <c r="C251" s="246"/>
      <c r="D251" s="251" t="s">
        <v>252</v>
      </c>
      <c r="E251" s="929">
        <v>1627</v>
      </c>
      <c r="F251" s="930">
        <v>1373</v>
      </c>
      <c r="G251" s="931">
        <v>1327</v>
      </c>
      <c r="H251" s="344" t="s">
        <v>824</v>
      </c>
      <c r="I251" s="43" t="s">
        <v>825</v>
      </c>
    </row>
    <row r="252" spans="1:9" x14ac:dyDescent="0.25">
      <c r="A252" s="10"/>
      <c r="B252" s="246"/>
      <c r="C252" s="246"/>
      <c r="D252" s="251" t="s">
        <v>253</v>
      </c>
      <c r="E252" s="929"/>
      <c r="F252" s="930"/>
      <c r="G252" s="931"/>
      <c r="H252" s="344" t="s">
        <v>824</v>
      </c>
      <c r="I252" s="43" t="s">
        <v>825</v>
      </c>
    </row>
    <row r="253" spans="1:9" x14ac:dyDescent="0.25">
      <c r="A253" s="10"/>
      <c r="B253" s="246"/>
      <c r="C253" s="246"/>
      <c r="D253" s="251" t="s">
        <v>254</v>
      </c>
      <c r="E253" s="929"/>
      <c r="F253" s="930"/>
      <c r="G253" s="931"/>
      <c r="H253" s="344" t="s">
        <v>824</v>
      </c>
      <c r="I253" s="43" t="s">
        <v>825</v>
      </c>
    </row>
    <row r="254" spans="1:9" x14ac:dyDescent="0.25">
      <c r="A254" s="10"/>
      <c r="B254" s="246"/>
      <c r="C254" s="246"/>
      <c r="D254" s="251" t="s">
        <v>255</v>
      </c>
      <c r="E254" s="929"/>
      <c r="F254" s="930"/>
      <c r="G254" s="931"/>
      <c r="H254" s="344" t="s">
        <v>824</v>
      </c>
      <c r="I254" s="43" t="s">
        <v>825</v>
      </c>
    </row>
    <row r="255" spans="1:9" x14ac:dyDescent="0.25">
      <c r="A255" s="10"/>
      <c r="B255" s="246"/>
      <c r="C255" s="246"/>
      <c r="D255" s="251" t="s">
        <v>256</v>
      </c>
      <c r="E255" s="929">
        <v>3598</v>
      </c>
      <c r="F255" s="930">
        <v>2872</v>
      </c>
      <c r="G255" s="931">
        <v>2767</v>
      </c>
      <c r="H255" s="344" t="s">
        <v>824</v>
      </c>
      <c r="I255" s="344" t="s">
        <v>825</v>
      </c>
    </row>
    <row r="256" spans="1:9" x14ac:dyDescent="0.25">
      <c r="A256" s="10"/>
      <c r="B256" s="246"/>
      <c r="C256" s="246"/>
      <c r="D256" s="251" t="s">
        <v>257</v>
      </c>
      <c r="E256" s="932"/>
      <c r="F256" s="933"/>
      <c r="G256" s="934"/>
      <c r="H256" s="344" t="s">
        <v>824</v>
      </c>
      <c r="I256" s="344" t="s">
        <v>825</v>
      </c>
    </row>
    <row r="257" spans="1:9" ht="15.75" thickBot="1" x14ac:dyDescent="0.3">
      <c r="A257" s="10"/>
      <c r="B257" s="246"/>
      <c r="C257" s="246"/>
      <c r="D257" s="261"/>
      <c r="E257" s="900">
        <f>SUM(E246:E255)</f>
        <v>7950</v>
      </c>
      <c r="F257" s="901">
        <f>SUM(F246:F255)</f>
        <v>6972</v>
      </c>
      <c r="G257" s="219">
        <f>SUM(G246:G255)</f>
        <v>6850</v>
      </c>
      <c r="H257" s="829" t="s">
        <v>826</v>
      </c>
      <c r="I257" s="120"/>
    </row>
    <row r="258" spans="1:9" ht="15.75" thickTop="1" x14ac:dyDescent="0.25">
      <c r="A258" s="10"/>
      <c r="B258" s="246"/>
      <c r="C258" s="246"/>
      <c r="D258" s="261"/>
      <c r="E258" s="902" t="b">
        <f>SUM(E246:E255)=E203</f>
        <v>1</v>
      </c>
      <c r="F258" s="903" t="b">
        <f>SUM(F246:F255)=F203</f>
        <v>1</v>
      </c>
      <c r="G258" s="705" t="b">
        <f>SUM(G246:G255)=G203</f>
        <v>1</v>
      </c>
      <c r="H258" s="222"/>
      <c r="I258" s="120"/>
    </row>
    <row r="259" spans="1:9" x14ac:dyDescent="0.25">
      <c r="A259" s="10"/>
      <c r="B259" s="246"/>
      <c r="C259" s="246"/>
      <c r="D259" s="261"/>
      <c r="E259" s="935"/>
      <c r="F259" s="936"/>
      <c r="G259" s="724"/>
      <c r="H259" s="222"/>
      <c r="I259" s="222"/>
    </row>
    <row r="260" spans="1:9" x14ac:dyDescent="0.25">
      <c r="A260" s="10"/>
      <c r="B260" s="11"/>
      <c r="C260" s="104" t="s">
        <v>260</v>
      </c>
      <c r="D260" s="105"/>
      <c r="E260" s="848"/>
      <c r="F260" s="849"/>
      <c r="G260" s="612"/>
      <c r="H260" s="937"/>
      <c r="I260" s="938"/>
    </row>
    <row r="261" spans="1:9" x14ac:dyDescent="0.25">
      <c r="A261" s="39"/>
      <c r="B261" s="32"/>
      <c r="C261" s="32"/>
      <c r="D261" s="210" t="s">
        <v>189</v>
      </c>
      <c r="E261" s="896">
        <v>1800</v>
      </c>
      <c r="F261" s="897">
        <v>1629</v>
      </c>
      <c r="G261" s="213">
        <v>2857</v>
      </c>
      <c r="H261" s="344" t="s">
        <v>827</v>
      </c>
      <c r="I261" s="43" t="s">
        <v>828</v>
      </c>
    </row>
    <row r="262" spans="1:9" x14ac:dyDescent="0.25">
      <c r="A262" s="10"/>
      <c r="B262" s="11"/>
      <c r="C262" s="11"/>
      <c r="D262" s="190" t="s">
        <v>192</v>
      </c>
      <c r="E262" s="898">
        <v>101</v>
      </c>
      <c r="F262" s="899">
        <v>73</v>
      </c>
      <c r="G262" s="216">
        <v>118</v>
      </c>
      <c r="H262" s="344" t="s">
        <v>827</v>
      </c>
      <c r="I262" s="43" t="s">
        <v>828</v>
      </c>
    </row>
    <row r="263" spans="1:9" x14ac:dyDescent="0.25">
      <c r="A263" s="10"/>
      <c r="B263" s="11"/>
      <c r="C263" s="11"/>
      <c r="D263" s="190" t="s">
        <v>194</v>
      </c>
      <c r="E263" s="898">
        <v>0</v>
      </c>
      <c r="F263" s="899">
        <v>0</v>
      </c>
      <c r="G263" s="216">
        <v>0</v>
      </c>
      <c r="H263" s="344" t="s">
        <v>827</v>
      </c>
      <c r="I263" s="43" t="s">
        <v>828</v>
      </c>
    </row>
    <row r="264" spans="1:9" x14ac:dyDescent="0.25">
      <c r="A264" s="10"/>
      <c r="B264" s="11"/>
      <c r="C264" s="11"/>
      <c r="D264" s="190" t="s">
        <v>195</v>
      </c>
      <c r="E264" s="898">
        <v>241</v>
      </c>
      <c r="F264" s="899">
        <v>89</v>
      </c>
      <c r="G264" s="216">
        <v>-901</v>
      </c>
      <c r="H264" s="344" t="s">
        <v>827</v>
      </c>
      <c r="I264" s="43" t="s">
        <v>828</v>
      </c>
    </row>
    <row r="265" spans="1:9" x14ac:dyDescent="0.25">
      <c r="A265" s="10"/>
      <c r="B265" s="11"/>
      <c r="C265" s="11"/>
      <c r="D265" s="190" t="s">
        <v>261</v>
      </c>
      <c r="E265" s="898">
        <v>-630</v>
      </c>
      <c r="F265" s="899">
        <v>102</v>
      </c>
      <c r="G265" s="216">
        <v>-246</v>
      </c>
      <c r="H265" s="344" t="s">
        <v>827</v>
      </c>
      <c r="I265" s="43" t="s">
        <v>828</v>
      </c>
    </row>
    <row r="266" spans="1:9" x14ac:dyDescent="0.25">
      <c r="A266" s="10"/>
      <c r="B266" s="11"/>
      <c r="C266" s="11"/>
      <c r="D266" s="190" t="s">
        <v>262</v>
      </c>
      <c r="E266" s="898">
        <v>-76</v>
      </c>
      <c r="F266" s="899">
        <v>83</v>
      </c>
      <c r="G266" s="216">
        <v>-5</v>
      </c>
      <c r="H266" s="344" t="s">
        <v>827</v>
      </c>
      <c r="I266" s="43" t="s">
        <v>828</v>
      </c>
    </row>
    <row r="267" spans="1:9" x14ac:dyDescent="0.25">
      <c r="A267" s="10"/>
      <c r="B267" s="11"/>
      <c r="C267" s="11"/>
      <c r="D267" s="190" t="s">
        <v>264</v>
      </c>
      <c r="E267" s="898">
        <v>0</v>
      </c>
      <c r="F267" s="899">
        <v>0</v>
      </c>
      <c r="G267" s="216">
        <v>-2</v>
      </c>
      <c r="H267" s="344" t="s">
        <v>827</v>
      </c>
      <c r="I267" s="43" t="s">
        <v>828</v>
      </c>
    </row>
    <row r="268" spans="1:9" x14ac:dyDescent="0.25">
      <c r="A268" s="10"/>
      <c r="B268" s="11"/>
      <c r="C268" s="11"/>
      <c r="D268" s="190" t="s">
        <v>265</v>
      </c>
      <c r="E268" s="898">
        <v>-134</v>
      </c>
      <c r="F268" s="899">
        <v>-168</v>
      </c>
      <c r="G268" s="216">
        <v>-181</v>
      </c>
      <c r="H268" s="344" t="s">
        <v>827</v>
      </c>
      <c r="I268" s="43" t="s">
        <v>828</v>
      </c>
    </row>
    <row r="269" spans="1:9" x14ac:dyDescent="0.25">
      <c r="A269" s="10"/>
      <c r="B269" s="11"/>
      <c r="C269" s="11"/>
      <c r="D269" s="190" t="s">
        <v>266</v>
      </c>
      <c r="E269" s="898">
        <v>-12</v>
      </c>
      <c r="F269" s="899">
        <v>-9</v>
      </c>
      <c r="G269" s="216">
        <v>-11</v>
      </c>
      <c r="H269" s="344" t="s">
        <v>827</v>
      </c>
      <c r="I269" s="43" t="s">
        <v>828</v>
      </c>
    </row>
    <row r="270" spans="1:9" x14ac:dyDescent="0.25">
      <c r="A270" s="10"/>
      <c r="B270" s="11"/>
      <c r="C270" s="11"/>
      <c r="D270" s="190" t="s">
        <v>144</v>
      </c>
      <c r="E270" s="898">
        <v>-1</v>
      </c>
      <c r="F270" s="899">
        <v>1</v>
      </c>
      <c r="G270" s="216"/>
      <c r="H270" s="344" t="s">
        <v>827</v>
      </c>
      <c r="I270" s="43" t="s">
        <v>828</v>
      </c>
    </row>
    <row r="271" spans="1:9" ht="15.75" thickBot="1" x14ac:dyDescent="0.3">
      <c r="A271" s="39"/>
      <c r="B271" s="32"/>
      <c r="C271" s="32"/>
      <c r="D271" s="210" t="s">
        <v>267</v>
      </c>
      <c r="E271" s="900">
        <v>1289</v>
      </c>
      <c r="F271" s="901">
        <v>1800</v>
      </c>
      <c r="G271" s="219">
        <v>1629</v>
      </c>
      <c r="H271" s="344" t="s">
        <v>827</v>
      </c>
      <c r="I271" s="344" t="s">
        <v>828</v>
      </c>
    </row>
    <row r="272" spans="1:9" ht="15.75" thickTop="1" x14ac:dyDescent="0.25">
      <c r="A272" s="39"/>
      <c r="B272" s="32"/>
      <c r="C272" s="32"/>
      <c r="D272" s="210"/>
      <c r="E272" s="902" t="b">
        <f>SUM(E261:E270)=E271</f>
        <v>1</v>
      </c>
      <c r="F272" s="903" t="b">
        <f>SUM(F261:F270)=F271</f>
        <v>1</v>
      </c>
      <c r="G272" s="705" t="b">
        <f>SUM(G261:G270)=G271</f>
        <v>1</v>
      </c>
      <c r="H272" s="222"/>
      <c r="I272" s="120"/>
    </row>
    <row r="273" spans="1:9" x14ac:dyDescent="0.25">
      <c r="A273" s="39"/>
      <c r="B273" s="32"/>
      <c r="C273" s="32"/>
      <c r="D273" s="210"/>
      <c r="E273" s="902" t="b">
        <f>+E268=-E85</f>
        <v>1</v>
      </c>
      <c r="F273" s="903" t="b">
        <f>+F268=-F85</f>
        <v>1</v>
      </c>
      <c r="G273" s="705" t="b">
        <f>+G268=-G85</f>
        <v>1</v>
      </c>
      <c r="H273" s="222"/>
      <c r="I273" s="120"/>
    </row>
    <row r="274" spans="1:9" x14ac:dyDescent="0.25">
      <c r="A274" s="39"/>
      <c r="B274" s="32"/>
      <c r="C274" s="32"/>
      <c r="D274" s="210"/>
      <c r="E274" s="902" t="b">
        <f>E271=E29</f>
        <v>1</v>
      </c>
      <c r="F274" s="903" t="b">
        <f>F271=F29</f>
        <v>1</v>
      </c>
      <c r="G274" s="705" t="b">
        <f>G271=G29</f>
        <v>1</v>
      </c>
      <c r="H274" s="222"/>
      <c r="I274" s="120"/>
    </row>
    <row r="275" spans="1:9" x14ac:dyDescent="0.25">
      <c r="A275" s="10"/>
      <c r="B275" s="246"/>
      <c r="C275" s="246"/>
      <c r="D275" s="261"/>
      <c r="E275" s="935"/>
      <c r="F275" s="936"/>
      <c r="G275" s="724"/>
      <c r="H275" s="222"/>
      <c r="I275" s="120"/>
    </row>
    <row r="276" spans="1:9" x14ac:dyDescent="0.25">
      <c r="A276" s="10"/>
      <c r="B276" s="246"/>
      <c r="C276" s="246"/>
      <c r="D276" s="210" t="s">
        <v>268</v>
      </c>
      <c r="E276" s="935" t="s">
        <v>269</v>
      </c>
      <c r="F276" s="936" t="s">
        <v>269</v>
      </c>
      <c r="G276" s="724"/>
      <c r="H276" s="724"/>
      <c r="I276" s="43" t="s">
        <v>829</v>
      </c>
    </row>
    <row r="277" spans="1:9" x14ac:dyDescent="0.25">
      <c r="A277" s="10"/>
      <c r="B277" s="246"/>
      <c r="C277" s="246"/>
      <c r="D277" s="210" t="s">
        <v>270</v>
      </c>
      <c r="E277" s="939">
        <v>0.04</v>
      </c>
      <c r="F277" s="940">
        <v>0.04</v>
      </c>
      <c r="G277" s="941"/>
      <c r="H277" s="344" t="s">
        <v>813</v>
      </c>
      <c r="I277" s="344" t="s">
        <v>830</v>
      </c>
    </row>
    <row r="278" spans="1:9" x14ac:dyDescent="0.25">
      <c r="A278" s="10"/>
      <c r="B278" s="246"/>
      <c r="C278" s="246"/>
      <c r="D278" s="210" t="s">
        <v>272</v>
      </c>
      <c r="E278" s="939"/>
      <c r="F278" s="940"/>
      <c r="G278" s="941"/>
      <c r="H278" s="222"/>
      <c r="I278" s="120"/>
    </row>
    <row r="279" spans="1:9" x14ac:dyDescent="0.25">
      <c r="A279" s="10"/>
      <c r="B279" s="246"/>
      <c r="C279" s="246"/>
      <c r="D279" s="281" t="s">
        <v>273</v>
      </c>
      <c r="E279" s="939" t="s">
        <v>831</v>
      </c>
      <c r="F279" s="940" t="s">
        <v>831</v>
      </c>
      <c r="G279" s="941" t="s">
        <v>831</v>
      </c>
      <c r="H279" s="43" t="s">
        <v>813</v>
      </c>
      <c r="I279" s="652" t="s">
        <v>829</v>
      </c>
    </row>
    <row r="280" spans="1:9" x14ac:dyDescent="0.25">
      <c r="A280" s="10"/>
      <c r="B280" s="246"/>
      <c r="C280" s="246"/>
      <c r="D280" s="281" t="s">
        <v>276</v>
      </c>
      <c r="E280" s="939" t="s">
        <v>832</v>
      </c>
      <c r="F280" s="940" t="s">
        <v>832</v>
      </c>
      <c r="G280" s="941" t="s">
        <v>832</v>
      </c>
      <c r="H280" s="43" t="s">
        <v>813</v>
      </c>
      <c r="I280" s="652" t="s">
        <v>829</v>
      </c>
    </row>
    <row r="281" spans="1:9" x14ac:dyDescent="0.25">
      <c r="A281" s="10"/>
      <c r="B281" s="246"/>
      <c r="C281" s="246"/>
      <c r="D281" s="281" t="s">
        <v>277</v>
      </c>
      <c r="E281" s="942">
        <v>0</v>
      </c>
      <c r="F281" s="943">
        <v>0</v>
      </c>
      <c r="G281" s="944">
        <v>0</v>
      </c>
      <c r="H281" s="43"/>
      <c r="I281" s="344"/>
    </row>
    <row r="282" spans="1:9" x14ac:dyDescent="0.25">
      <c r="A282" s="10"/>
      <c r="B282" s="246"/>
      <c r="C282" s="246"/>
      <c r="D282" s="261"/>
      <c r="E282" s="935"/>
      <c r="F282" s="936"/>
      <c r="G282" s="724"/>
      <c r="H282" s="222"/>
      <c r="I282" s="120"/>
    </row>
    <row r="283" spans="1:9" x14ac:dyDescent="0.25">
      <c r="A283" s="10"/>
      <c r="B283" s="11"/>
      <c r="C283" s="104" t="s">
        <v>292</v>
      </c>
      <c r="D283" s="105"/>
      <c r="E283" s="848"/>
      <c r="F283" s="849"/>
      <c r="G283" s="612"/>
      <c r="H283" s="612"/>
      <c r="I283" s="109"/>
    </row>
    <row r="284" spans="1:9" x14ac:dyDescent="0.25">
      <c r="A284" s="10"/>
      <c r="B284" s="11"/>
      <c r="C284" s="11"/>
      <c r="D284" s="190" t="s">
        <v>189</v>
      </c>
      <c r="E284" s="890">
        <v>321</v>
      </c>
      <c r="F284" s="891">
        <v>112</v>
      </c>
      <c r="G284" s="666">
        <v>22</v>
      </c>
      <c r="H284" s="344" t="s">
        <v>833</v>
      </c>
      <c r="I284" s="451" t="s">
        <v>834</v>
      </c>
    </row>
    <row r="285" spans="1:9" x14ac:dyDescent="0.25">
      <c r="A285" s="10"/>
      <c r="B285" s="11"/>
      <c r="C285" s="11"/>
      <c r="D285" s="190" t="s">
        <v>294</v>
      </c>
      <c r="E285" s="890">
        <f>+SUM(E286:E288)</f>
        <v>-45</v>
      </c>
      <c r="F285" s="891">
        <f>+SUM(F286:F288)</f>
        <v>209</v>
      </c>
      <c r="G285" s="666">
        <f>+SUM(G286:G288)</f>
        <v>90</v>
      </c>
      <c r="H285" s="344" t="s">
        <v>833</v>
      </c>
      <c r="I285" s="451" t="s">
        <v>834</v>
      </c>
    </row>
    <row r="286" spans="1:9" x14ac:dyDescent="0.25">
      <c r="A286" s="10"/>
      <c r="B286" s="11"/>
      <c r="C286" s="11"/>
      <c r="D286" s="121" t="s">
        <v>295</v>
      </c>
      <c r="E286" s="945">
        <f>-E87</f>
        <v>51</v>
      </c>
      <c r="F286" s="946">
        <f>-F87</f>
        <v>37</v>
      </c>
      <c r="G286" s="739">
        <f>-G87</f>
        <v>51</v>
      </c>
      <c r="H286" s="344" t="s">
        <v>792</v>
      </c>
      <c r="I286" s="451" t="s">
        <v>835</v>
      </c>
    </row>
    <row r="287" spans="1:9" x14ac:dyDescent="0.25">
      <c r="A287" s="10"/>
      <c r="B287" s="11"/>
      <c r="C287" s="11"/>
      <c r="D287" s="121" t="s">
        <v>296</v>
      </c>
      <c r="E287" s="854">
        <f>-SUM(E89:E91)</f>
        <v>-18</v>
      </c>
      <c r="F287" s="855">
        <f>-SUM(F89:F91)</f>
        <v>-26</v>
      </c>
      <c r="G287" s="625">
        <f>-SUM(G89:G91)</f>
        <v>-22</v>
      </c>
      <c r="H287" s="344" t="s">
        <v>792</v>
      </c>
      <c r="I287" s="451" t="s">
        <v>835</v>
      </c>
    </row>
    <row r="288" spans="1:9" x14ac:dyDescent="0.25">
      <c r="A288" s="10"/>
      <c r="B288" s="11"/>
      <c r="C288" s="11"/>
      <c r="D288" s="121" t="s">
        <v>297</v>
      </c>
      <c r="E288" s="854">
        <f>-E88</f>
        <v>-78</v>
      </c>
      <c r="F288" s="855">
        <f>-F88</f>
        <v>198</v>
      </c>
      <c r="G288" s="625">
        <f>-G88</f>
        <v>61</v>
      </c>
      <c r="H288" s="344" t="s">
        <v>792</v>
      </c>
      <c r="I288" s="451" t="s">
        <v>835</v>
      </c>
    </row>
    <row r="289" spans="1:13" x14ac:dyDescent="0.25">
      <c r="A289" s="10"/>
      <c r="B289" s="11"/>
      <c r="C289" s="11"/>
      <c r="D289" s="190" t="s">
        <v>195</v>
      </c>
      <c r="E289" s="890">
        <v>4</v>
      </c>
      <c r="F289" s="891">
        <v>1</v>
      </c>
      <c r="G289" s="666">
        <v>0</v>
      </c>
      <c r="H289" s="344" t="s">
        <v>833</v>
      </c>
      <c r="I289" s="451" t="s">
        <v>834</v>
      </c>
    </row>
    <row r="290" spans="1:13" x14ac:dyDescent="0.25">
      <c r="A290" s="10"/>
      <c r="B290" s="11"/>
      <c r="C290" s="11"/>
      <c r="D290" s="190" t="s">
        <v>129</v>
      </c>
      <c r="E290" s="890">
        <v>-8</v>
      </c>
      <c r="F290" s="891">
        <v>-1</v>
      </c>
      <c r="G290" s="666">
        <v>0</v>
      </c>
      <c r="H290" s="344" t="s">
        <v>833</v>
      </c>
      <c r="I290" s="451" t="s">
        <v>834</v>
      </c>
    </row>
    <row r="291" spans="1:13" ht="15.75" thickBot="1" x14ac:dyDescent="0.3">
      <c r="A291" s="10"/>
      <c r="B291" s="11"/>
      <c r="C291" s="11"/>
      <c r="D291" s="190" t="s">
        <v>298</v>
      </c>
      <c r="E291" s="900">
        <v>272</v>
      </c>
      <c r="F291" s="901">
        <v>321</v>
      </c>
      <c r="G291" s="219">
        <v>112</v>
      </c>
      <c r="H291" s="344" t="s">
        <v>833</v>
      </c>
      <c r="I291" s="451" t="s">
        <v>834</v>
      </c>
    </row>
    <row r="292" spans="1:13" ht="15.75" thickTop="1" x14ac:dyDescent="0.25">
      <c r="A292" s="10"/>
      <c r="B292" s="11"/>
      <c r="C292" s="11"/>
      <c r="D292" s="190"/>
      <c r="E292" s="902" t="b">
        <f>SUM(E284:E285,E289:E290)=E291</f>
        <v>1</v>
      </c>
      <c r="F292" s="903" t="b">
        <f>SUM(F284:F285,F289:F290)=F291</f>
        <v>1</v>
      </c>
      <c r="G292" s="705" t="b">
        <f>SUM(G284:G285,G289:G290)=G291</f>
        <v>1</v>
      </c>
      <c r="H292" s="222"/>
      <c r="I292" s="120"/>
    </row>
    <row r="293" spans="1:13" x14ac:dyDescent="0.25">
      <c r="A293" s="10"/>
      <c r="B293" s="11"/>
      <c r="C293" s="11"/>
      <c r="D293" s="190"/>
      <c r="E293" s="902" t="b">
        <f>(E285-E92)=-E86</f>
        <v>1</v>
      </c>
      <c r="F293" s="903" t="b">
        <f>(F285-F92)=-F86</f>
        <v>1</v>
      </c>
      <c r="G293" s="705" t="b">
        <f>(G285-G92)=-G86</f>
        <v>1</v>
      </c>
      <c r="H293" s="222"/>
      <c r="I293" s="120"/>
    </row>
    <row r="294" spans="1:13" x14ac:dyDescent="0.25">
      <c r="A294" s="10"/>
      <c r="B294" s="11"/>
      <c r="C294" s="11"/>
      <c r="D294" s="297" t="s">
        <v>300</v>
      </c>
      <c r="E294" s="947"/>
      <c r="F294" s="948"/>
      <c r="G294" s="300"/>
      <c r="H294" s="511"/>
      <c r="I294" s="301"/>
      <c r="J294" s="228"/>
    </row>
    <row r="295" spans="1:13" x14ac:dyDescent="0.25">
      <c r="A295" s="10"/>
      <c r="B295" s="11"/>
      <c r="C295" s="11"/>
      <c r="D295" s="302" t="s">
        <v>189</v>
      </c>
      <c r="E295" s="949">
        <f>+F302</f>
        <v>309</v>
      </c>
      <c r="F295" s="950">
        <v>101</v>
      </c>
      <c r="G295" s="305">
        <v>22</v>
      </c>
      <c r="H295" s="519"/>
      <c r="I295" s="43"/>
      <c r="J295" s="951"/>
      <c r="M295" t="s">
        <v>836</v>
      </c>
    </row>
    <row r="296" spans="1:13" x14ac:dyDescent="0.25">
      <c r="A296" s="10"/>
      <c r="B296" s="11"/>
      <c r="C296" s="11"/>
      <c r="D296" s="302" t="s">
        <v>294</v>
      </c>
      <c r="E296" s="949">
        <f>+SUM(E297:E299)</f>
        <v>-45</v>
      </c>
      <c r="F296" s="950">
        <f>+SUM(F297:F299)</f>
        <v>208</v>
      </c>
      <c r="G296" s="305">
        <f>+SUM(G297:G299)</f>
        <v>0</v>
      </c>
      <c r="H296" s="519"/>
      <c r="I296" s="43"/>
    </row>
    <row r="297" spans="1:13" x14ac:dyDescent="0.25">
      <c r="A297" s="10"/>
      <c r="B297" s="11"/>
      <c r="C297" s="11"/>
      <c r="D297" s="306" t="s">
        <v>295</v>
      </c>
      <c r="E297" s="952">
        <f>25+24</f>
        <v>49</v>
      </c>
      <c r="F297" s="953">
        <f>17+20</f>
        <v>37</v>
      </c>
      <c r="G297" s="954"/>
      <c r="H297" s="344" t="s">
        <v>837</v>
      </c>
      <c r="I297" s="43"/>
    </row>
    <row r="298" spans="1:13" x14ac:dyDescent="0.25">
      <c r="A298" s="10"/>
      <c r="B298" s="11"/>
      <c r="C298" s="11"/>
      <c r="D298" s="306" t="s">
        <v>296</v>
      </c>
      <c r="E298" s="952">
        <f>E287</f>
        <v>-18</v>
      </c>
      <c r="F298" s="953">
        <f>F287</f>
        <v>-26</v>
      </c>
      <c r="G298" s="309"/>
      <c r="H298" s="344" t="s">
        <v>838</v>
      </c>
      <c r="I298" s="43"/>
    </row>
    <row r="299" spans="1:13" x14ac:dyDescent="0.25">
      <c r="A299" s="10"/>
      <c r="B299" s="11"/>
      <c r="C299" s="11"/>
      <c r="D299" s="306" t="s">
        <v>297</v>
      </c>
      <c r="E299" s="952">
        <f>E288-E309</f>
        <v>-76</v>
      </c>
      <c r="F299" s="953">
        <f>F288-F309</f>
        <v>197</v>
      </c>
      <c r="G299" s="309"/>
      <c r="H299" s="344" t="s">
        <v>838</v>
      </c>
      <c r="I299" s="43"/>
    </row>
    <row r="300" spans="1:13" x14ac:dyDescent="0.25">
      <c r="A300" s="10"/>
      <c r="B300" s="11"/>
      <c r="C300" s="11"/>
      <c r="D300" s="302" t="s">
        <v>195</v>
      </c>
      <c r="E300" s="949">
        <f>E289</f>
        <v>4</v>
      </c>
      <c r="F300" s="950">
        <v>1</v>
      </c>
      <c r="G300" s="305"/>
      <c r="H300" s="344" t="s">
        <v>839</v>
      </c>
      <c r="I300" s="43"/>
      <c r="J300" s="951" t="s">
        <v>840</v>
      </c>
    </row>
    <row r="301" spans="1:13" x14ac:dyDescent="0.25">
      <c r="A301" s="10"/>
      <c r="B301" s="11"/>
      <c r="C301" s="11"/>
      <c r="D301" s="302" t="s">
        <v>129</v>
      </c>
      <c r="E301" s="949">
        <f>E290</f>
        <v>-8</v>
      </c>
      <c r="F301" s="955">
        <v>-1</v>
      </c>
      <c r="G301" s="312"/>
      <c r="H301" s="344" t="s">
        <v>839</v>
      </c>
      <c r="I301" s="43"/>
      <c r="J301" s="951" t="s">
        <v>840</v>
      </c>
    </row>
    <row r="302" spans="1:13" ht="15.75" thickBot="1" x14ac:dyDescent="0.3">
      <c r="A302" s="10"/>
      <c r="B302" s="11"/>
      <c r="C302" s="11"/>
      <c r="D302" s="302" t="s">
        <v>298</v>
      </c>
      <c r="E302" s="956">
        <f>SUM(E300:E301,E295:E296)</f>
        <v>260</v>
      </c>
      <c r="F302" s="956">
        <f>SUM(F300:F301,F295:F296)</f>
        <v>309</v>
      </c>
      <c r="G302" s="315">
        <v>101</v>
      </c>
      <c r="H302" s="344"/>
      <c r="I302" s="43"/>
      <c r="J302" s="951"/>
    </row>
    <row r="303" spans="1:13" ht="15.75" thickTop="1" x14ac:dyDescent="0.25">
      <c r="A303" s="10"/>
      <c r="B303" s="11"/>
      <c r="C303" s="11"/>
      <c r="D303" s="302"/>
      <c r="E303" s="957"/>
      <c r="F303" s="958"/>
      <c r="G303" s="319"/>
      <c r="H303" s="344"/>
      <c r="I303" s="43"/>
    </row>
    <row r="304" spans="1:13" x14ac:dyDescent="0.25">
      <c r="A304" s="10"/>
      <c r="B304" s="11"/>
      <c r="C304" s="11"/>
      <c r="D304" s="297" t="s">
        <v>306</v>
      </c>
      <c r="E304" s="947"/>
      <c r="F304" s="948"/>
      <c r="G304" s="300"/>
      <c r="H304" s="344"/>
      <c r="I304" s="301"/>
    </row>
    <row r="305" spans="1:10" x14ac:dyDescent="0.25">
      <c r="A305" s="10"/>
      <c r="B305" s="11"/>
      <c r="C305" s="11"/>
      <c r="D305" s="302" t="s">
        <v>189</v>
      </c>
      <c r="E305" s="949">
        <f>+F313</f>
        <v>12</v>
      </c>
      <c r="F305" s="950">
        <v>11</v>
      </c>
      <c r="G305" s="305">
        <v>0</v>
      </c>
      <c r="H305" s="344"/>
      <c r="I305" s="43"/>
      <c r="J305" s="951"/>
    </row>
    <row r="306" spans="1:10" x14ac:dyDescent="0.25">
      <c r="A306" s="10"/>
      <c r="B306" s="11"/>
      <c r="C306" s="11"/>
      <c r="D306" s="302" t="s">
        <v>308</v>
      </c>
      <c r="E306" s="949">
        <f>+SUM(E307:E309)</f>
        <v>-1</v>
      </c>
      <c r="F306" s="950">
        <v>1</v>
      </c>
      <c r="G306" s="305">
        <v>11</v>
      </c>
      <c r="H306" s="344" t="s">
        <v>246</v>
      </c>
      <c r="I306" s="43"/>
    </row>
    <row r="307" spans="1:10" x14ac:dyDescent="0.25">
      <c r="A307" s="10"/>
      <c r="B307" s="11"/>
      <c r="C307" s="11"/>
      <c r="D307" s="306" t="s">
        <v>295</v>
      </c>
      <c r="E307" s="952">
        <v>1</v>
      </c>
      <c r="F307" s="953">
        <v>0</v>
      </c>
      <c r="G307" s="954"/>
      <c r="H307" s="344" t="s">
        <v>246</v>
      </c>
      <c r="I307" s="43"/>
    </row>
    <row r="308" spans="1:10" x14ac:dyDescent="0.25">
      <c r="A308" s="10"/>
      <c r="B308" s="11"/>
      <c r="C308" s="11"/>
      <c r="D308" s="306" t="s">
        <v>296</v>
      </c>
      <c r="E308" s="952">
        <v>0</v>
      </c>
      <c r="F308" s="953">
        <v>0</v>
      </c>
      <c r="G308" s="309"/>
      <c r="H308" s="344" t="s">
        <v>246</v>
      </c>
      <c r="I308" s="43"/>
    </row>
    <row r="309" spans="1:10" x14ac:dyDescent="0.25">
      <c r="A309" s="10"/>
      <c r="B309" s="11"/>
      <c r="C309" s="11"/>
      <c r="D309" s="306" t="s">
        <v>297</v>
      </c>
      <c r="E309" s="952">
        <v>-2</v>
      </c>
      <c r="F309" s="953">
        <v>1</v>
      </c>
      <c r="G309" s="309"/>
      <c r="H309" s="344" t="s">
        <v>246</v>
      </c>
      <c r="I309" s="43"/>
    </row>
    <row r="310" spans="1:10" x14ac:dyDescent="0.25">
      <c r="A310" s="10"/>
      <c r="B310" s="11"/>
      <c r="C310" s="11"/>
      <c r="D310" s="302" t="s">
        <v>311</v>
      </c>
      <c r="E310" s="949"/>
      <c r="F310" s="950"/>
      <c r="G310" s="305"/>
      <c r="H310" s="344"/>
      <c r="I310" s="66"/>
      <c r="J310" s="951"/>
    </row>
    <row r="311" spans="1:10" x14ac:dyDescent="0.25">
      <c r="A311" s="10"/>
      <c r="B311" s="11"/>
      <c r="C311" s="11"/>
      <c r="D311" s="302" t="s">
        <v>195</v>
      </c>
      <c r="E311" s="949"/>
      <c r="F311" s="950"/>
      <c r="G311" s="305"/>
      <c r="H311" s="344" t="s">
        <v>246</v>
      </c>
      <c r="I311" s="43"/>
      <c r="J311" s="951"/>
    </row>
    <row r="312" spans="1:10" x14ac:dyDescent="0.25">
      <c r="A312" s="10"/>
      <c r="B312" s="11"/>
      <c r="C312" s="11"/>
      <c r="D312" s="302" t="s">
        <v>129</v>
      </c>
      <c r="E312" s="959"/>
      <c r="F312" s="955"/>
      <c r="G312" s="312"/>
      <c r="H312" s="344" t="s">
        <v>246</v>
      </c>
      <c r="I312" s="43"/>
      <c r="J312" s="951"/>
    </row>
    <row r="313" spans="1:10" ht="15.75" thickBot="1" x14ac:dyDescent="0.3">
      <c r="A313" s="10"/>
      <c r="B313" s="11"/>
      <c r="C313" s="11"/>
      <c r="D313" s="302" t="s">
        <v>298</v>
      </c>
      <c r="E313" s="956">
        <f>SUM(E310:E312,E305:E306)</f>
        <v>11</v>
      </c>
      <c r="F313" s="960">
        <v>12</v>
      </c>
      <c r="G313" s="315">
        <v>11</v>
      </c>
      <c r="H313" s="344" t="s">
        <v>246</v>
      </c>
      <c r="I313" s="43"/>
      <c r="J313" s="951"/>
    </row>
    <row r="314" spans="1:10" ht="15.75" thickTop="1" x14ac:dyDescent="0.25">
      <c r="A314" s="10"/>
      <c r="B314" s="11"/>
      <c r="C314" s="11"/>
      <c r="D314" s="190"/>
      <c r="E314" s="902" t="b">
        <f>E313+E302=E291</f>
        <v>0</v>
      </c>
      <c r="F314" s="903" t="b">
        <f>F313+F302=321</f>
        <v>1</v>
      </c>
      <c r="G314" s="705"/>
      <c r="H314" s="344" t="s">
        <v>839</v>
      </c>
      <c r="I314" s="344" t="s">
        <v>841</v>
      </c>
    </row>
    <row r="315" spans="1:10" ht="14.65" customHeight="1" x14ac:dyDescent="0.25">
      <c r="A315" s="10"/>
      <c r="B315" s="11"/>
      <c r="C315" s="104" t="s">
        <v>313</v>
      </c>
      <c r="D315" s="105"/>
      <c r="E315" s="848"/>
      <c r="F315" s="849"/>
      <c r="G315" s="612"/>
      <c r="H315" s="612"/>
      <c r="I315" s="938"/>
    </row>
    <row r="316" spans="1:10" ht="14.65" customHeight="1" x14ac:dyDescent="0.25">
      <c r="A316" s="10"/>
      <c r="B316" s="11"/>
      <c r="C316" s="11"/>
      <c r="D316" s="190" t="s">
        <v>189</v>
      </c>
      <c r="E316" s="890">
        <v>2</v>
      </c>
      <c r="F316" s="891">
        <v>9</v>
      </c>
      <c r="G316" s="666">
        <v>3</v>
      </c>
      <c r="H316" s="344" t="s">
        <v>842</v>
      </c>
      <c r="I316" s="451" t="s">
        <v>843</v>
      </c>
    </row>
    <row r="317" spans="1:10" ht="14.65" customHeight="1" x14ac:dyDescent="0.25">
      <c r="A317" s="10"/>
      <c r="B317" s="11"/>
      <c r="C317" s="11"/>
      <c r="D317" s="190" t="s">
        <v>294</v>
      </c>
      <c r="E317" s="890">
        <v>0</v>
      </c>
      <c r="F317" s="891">
        <v>-8</v>
      </c>
      <c r="G317" s="666">
        <v>6</v>
      </c>
      <c r="H317" s="344" t="s">
        <v>842</v>
      </c>
      <c r="I317" s="451" t="s">
        <v>843</v>
      </c>
    </row>
    <row r="318" spans="1:10" ht="14.65" customHeight="1" x14ac:dyDescent="0.25">
      <c r="A318" s="10"/>
      <c r="B318" s="11"/>
      <c r="C318" s="11"/>
      <c r="D318" s="121" t="s">
        <v>295</v>
      </c>
      <c r="E318" s="945">
        <v>3</v>
      </c>
      <c r="F318" s="946">
        <v>3</v>
      </c>
      <c r="G318" s="739">
        <v>5</v>
      </c>
      <c r="H318" s="344" t="s">
        <v>792</v>
      </c>
      <c r="I318" s="451" t="s">
        <v>844</v>
      </c>
    </row>
    <row r="319" spans="1:10" ht="14.65" customHeight="1" x14ac:dyDescent="0.25">
      <c r="A319" s="10"/>
      <c r="B319" s="11"/>
      <c r="C319" s="11"/>
      <c r="D319" s="121" t="s">
        <v>296</v>
      </c>
      <c r="E319" s="854" t="s">
        <v>845</v>
      </c>
      <c r="F319" s="855">
        <v>0</v>
      </c>
      <c r="G319" s="625">
        <v>0</v>
      </c>
      <c r="H319" s="344" t="s">
        <v>792</v>
      </c>
      <c r="I319" s="451" t="s">
        <v>844</v>
      </c>
    </row>
    <row r="320" spans="1:10" ht="14.65" customHeight="1" x14ac:dyDescent="0.25">
      <c r="A320" s="10"/>
      <c r="B320" s="11"/>
      <c r="C320" s="11"/>
      <c r="D320" s="121" t="s">
        <v>297</v>
      </c>
      <c r="E320" s="854">
        <v>-3</v>
      </c>
      <c r="F320" s="855">
        <v>-11</v>
      </c>
      <c r="G320" s="625">
        <v>1</v>
      </c>
      <c r="H320" s="344" t="s">
        <v>792</v>
      </c>
      <c r="I320" s="451" t="s">
        <v>844</v>
      </c>
    </row>
    <row r="321" spans="1:9" ht="14.65" customHeight="1" x14ac:dyDescent="0.25">
      <c r="A321" s="10"/>
      <c r="B321" s="11"/>
      <c r="C321" s="11"/>
      <c r="D321" s="190" t="s">
        <v>195</v>
      </c>
      <c r="E321" s="890">
        <v>0</v>
      </c>
      <c r="F321" s="891">
        <v>1</v>
      </c>
      <c r="G321" s="666">
        <v>0</v>
      </c>
      <c r="H321" s="344" t="s">
        <v>842</v>
      </c>
      <c r="I321" s="451" t="s">
        <v>843</v>
      </c>
    </row>
    <row r="322" spans="1:9" ht="14.65" customHeight="1" x14ac:dyDescent="0.25">
      <c r="A322" s="10"/>
      <c r="B322" s="11"/>
      <c r="C322" s="11"/>
      <c r="D322" s="190" t="s">
        <v>129</v>
      </c>
      <c r="E322" s="890">
        <v>0</v>
      </c>
      <c r="F322" s="891">
        <v>0</v>
      </c>
      <c r="G322" s="666">
        <v>0</v>
      </c>
      <c r="H322" s="344" t="s">
        <v>842</v>
      </c>
      <c r="I322" s="451" t="s">
        <v>843</v>
      </c>
    </row>
    <row r="323" spans="1:9" ht="14.65" customHeight="1" thickBot="1" x14ac:dyDescent="0.3">
      <c r="A323" s="10"/>
      <c r="B323" s="11"/>
      <c r="C323" s="11"/>
      <c r="D323" s="190" t="s">
        <v>298</v>
      </c>
      <c r="E323" s="900">
        <v>2</v>
      </c>
      <c r="F323" s="901">
        <v>2</v>
      </c>
      <c r="G323" s="219">
        <v>9</v>
      </c>
      <c r="H323" s="344" t="s">
        <v>842</v>
      </c>
      <c r="I323" s="451" t="s">
        <v>843</v>
      </c>
    </row>
    <row r="324" spans="1:9" ht="15.75" thickTop="1" x14ac:dyDescent="0.25">
      <c r="A324" s="10"/>
      <c r="B324" s="11"/>
      <c r="C324" s="11"/>
      <c r="D324" s="33"/>
      <c r="E324" s="902" t="b">
        <f>+E323=SUM(E321:E322,E316:E317)</f>
        <v>1</v>
      </c>
      <c r="F324" s="903" t="b">
        <f>+F323=SUM(F321:F322,F316:F317)</f>
        <v>1</v>
      </c>
      <c r="G324" s="705" t="b">
        <f>+G323=SUM(G321:G322,G316:G317)</f>
        <v>1</v>
      </c>
      <c r="H324" s="222"/>
      <c r="I324" s="222"/>
    </row>
    <row r="325" spans="1:9" x14ac:dyDescent="0.25">
      <c r="A325" s="10"/>
      <c r="B325" s="11"/>
      <c r="C325" s="11"/>
      <c r="D325" s="33"/>
      <c r="E325" s="902" t="b">
        <f>SUM(E318:E320)=E317</f>
        <v>1</v>
      </c>
      <c r="F325" s="903" t="b">
        <f>SUM(F318:F320)=F317</f>
        <v>1</v>
      </c>
      <c r="G325" s="705" t="b">
        <f>SUM(G318:G320)=G317</f>
        <v>1</v>
      </c>
      <c r="H325" s="222"/>
      <c r="I325" s="222"/>
    </row>
    <row r="326" spans="1:9" x14ac:dyDescent="0.25">
      <c r="A326" s="10"/>
      <c r="B326" s="11"/>
      <c r="C326" s="11"/>
      <c r="D326" s="33"/>
      <c r="E326" s="961"/>
      <c r="F326" s="962"/>
      <c r="G326" s="102"/>
      <c r="H326" s="222"/>
      <c r="I326" s="222"/>
    </row>
    <row r="327" spans="1:9" x14ac:dyDescent="0.25">
      <c r="A327" s="10"/>
      <c r="B327" s="11"/>
      <c r="C327" s="104" t="s">
        <v>319</v>
      </c>
      <c r="D327" s="105"/>
      <c r="E327" s="848"/>
      <c r="F327" s="849"/>
      <c r="G327" s="612"/>
      <c r="H327" s="612"/>
      <c r="I327" s="938"/>
    </row>
    <row r="328" spans="1:9" x14ac:dyDescent="0.25">
      <c r="A328" s="10"/>
      <c r="B328" s="11"/>
      <c r="C328" s="11"/>
      <c r="D328" s="190" t="s">
        <v>320</v>
      </c>
      <c r="E328" s="890">
        <f>-E98</f>
        <v>1298</v>
      </c>
      <c r="F328" s="891">
        <f>-F98</f>
        <v>1250</v>
      </c>
      <c r="G328" s="666">
        <f>-G98</f>
        <v>1235</v>
      </c>
      <c r="H328" s="963" t="s">
        <v>846</v>
      </c>
      <c r="I328" s="963" t="s">
        <v>846</v>
      </c>
    </row>
    <row r="329" spans="1:9" x14ac:dyDescent="0.25">
      <c r="A329" s="10"/>
      <c r="B329" s="11"/>
      <c r="C329" s="11"/>
      <c r="D329" s="190" t="s">
        <v>322</v>
      </c>
      <c r="E329" s="890">
        <v>922</v>
      </c>
      <c r="F329" s="891">
        <f>-F102</f>
        <v>897</v>
      </c>
      <c r="G329" s="666">
        <f>-G102</f>
        <v>900</v>
      </c>
      <c r="H329" s="963" t="s">
        <v>847</v>
      </c>
      <c r="I329" s="963" t="s">
        <v>848</v>
      </c>
    </row>
    <row r="330" spans="1:9" x14ac:dyDescent="0.25">
      <c r="A330" s="10"/>
      <c r="B330" s="11"/>
      <c r="C330" s="11"/>
      <c r="D330" s="190" t="s">
        <v>324</v>
      </c>
      <c r="E330" s="890">
        <f>-E183</f>
        <v>1325</v>
      </c>
      <c r="F330" s="891">
        <f>-F183</f>
        <v>1718</v>
      </c>
      <c r="G330" s="666">
        <f>-G183</f>
        <v>1302</v>
      </c>
      <c r="H330" s="963" t="s">
        <v>846</v>
      </c>
      <c r="I330" s="839" t="s">
        <v>846</v>
      </c>
    </row>
    <row r="331" spans="1:9" ht="15.75" thickBot="1" x14ac:dyDescent="0.3">
      <c r="A331" s="10"/>
      <c r="B331" s="11"/>
      <c r="C331" s="11"/>
      <c r="D331" s="190"/>
      <c r="E331" s="900">
        <f>SUM(E328:E330)</f>
        <v>3545</v>
      </c>
      <c r="F331" s="901">
        <f>SUM(F328:F330)</f>
        <v>3865</v>
      </c>
      <c r="G331" s="219">
        <f>SUM(G328:G330)</f>
        <v>3437</v>
      </c>
      <c r="H331" s="222"/>
      <c r="I331" s="222"/>
    </row>
    <row r="332" spans="1:9" ht="15.75" thickTop="1" x14ac:dyDescent="0.25">
      <c r="A332" s="10"/>
      <c r="B332" s="11"/>
      <c r="C332" s="11"/>
      <c r="D332" s="190"/>
      <c r="E332" s="902"/>
      <c r="F332" s="903"/>
      <c r="G332" s="705"/>
      <c r="H332" s="222"/>
      <c r="I332" s="120"/>
    </row>
    <row r="333" spans="1:9" x14ac:dyDescent="0.25">
      <c r="A333" s="10"/>
      <c r="B333" s="11"/>
      <c r="C333" s="11"/>
      <c r="D333" s="190" t="s">
        <v>325</v>
      </c>
      <c r="E333" s="890">
        <f>-E97</f>
        <v>5110</v>
      </c>
      <c r="F333" s="891">
        <f>-F97</f>
        <v>5126</v>
      </c>
      <c r="G333" s="666">
        <f>-G97</f>
        <v>4933</v>
      </c>
      <c r="H333" s="963" t="s">
        <v>846</v>
      </c>
      <c r="I333" s="324" t="s">
        <v>846</v>
      </c>
    </row>
    <row r="334" spans="1:9" x14ac:dyDescent="0.25">
      <c r="A334" s="10"/>
      <c r="B334" s="11"/>
      <c r="C334" s="11"/>
      <c r="D334" s="190" t="s">
        <v>326</v>
      </c>
      <c r="E334" s="890">
        <f>-E101</f>
        <v>1502</v>
      </c>
      <c r="F334" s="891">
        <f>-F101</f>
        <v>1402</v>
      </c>
      <c r="G334" s="666">
        <f>-G101</f>
        <v>1565</v>
      </c>
      <c r="H334" s="963" t="s">
        <v>846</v>
      </c>
      <c r="I334" s="324" t="s">
        <v>846</v>
      </c>
    </row>
    <row r="335" spans="1:9" x14ac:dyDescent="0.25">
      <c r="A335" s="10"/>
      <c r="B335" s="11"/>
      <c r="C335" s="11"/>
      <c r="D335" s="190" t="s">
        <v>327</v>
      </c>
      <c r="E335" s="890">
        <v>6894</v>
      </c>
      <c r="F335" s="891">
        <v>6738</v>
      </c>
      <c r="G335" s="666">
        <v>6962</v>
      </c>
      <c r="H335" s="344" t="s">
        <v>849</v>
      </c>
      <c r="I335" s="451" t="s">
        <v>850</v>
      </c>
    </row>
    <row r="336" spans="1:9" ht="15.75" thickBot="1" x14ac:dyDescent="0.3">
      <c r="A336" s="10"/>
      <c r="B336" s="11"/>
      <c r="C336" s="11"/>
      <c r="D336" s="190"/>
      <c r="E336" s="900">
        <f>SUM(E333:E335)</f>
        <v>13506</v>
      </c>
      <c r="F336" s="901">
        <f>SUM(F333:F335)</f>
        <v>13266</v>
      </c>
      <c r="G336" s="219">
        <f>SUM(G333:G335)</f>
        <v>13460</v>
      </c>
      <c r="H336" s="222"/>
      <c r="I336" s="120"/>
    </row>
    <row r="337" spans="1:9" ht="15.75" thickTop="1" x14ac:dyDescent="0.25">
      <c r="A337" s="10"/>
      <c r="B337" s="11"/>
      <c r="C337" s="11"/>
      <c r="D337" s="190"/>
      <c r="E337" s="964"/>
      <c r="F337" s="965"/>
      <c r="G337" s="966"/>
      <c r="H337" s="222"/>
      <c r="I337" s="120"/>
    </row>
    <row r="338" spans="1:9" x14ac:dyDescent="0.25">
      <c r="A338" s="10"/>
      <c r="B338" s="11"/>
      <c r="C338" s="104" t="s">
        <v>334</v>
      </c>
      <c r="D338" s="105"/>
      <c r="E338" s="848"/>
      <c r="F338" s="849"/>
      <c r="G338" s="612"/>
      <c r="H338" s="612"/>
      <c r="I338" s="109"/>
    </row>
    <row r="339" spans="1:9" x14ac:dyDescent="0.25">
      <c r="A339" s="10"/>
      <c r="B339" s="11"/>
      <c r="C339" s="967">
        <f>+(E339-F339)/F339</f>
        <v>6.3764961915125137E-2</v>
      </c>
      <c r="D339" s="190" t="s">
        <v>598</v>
      </c>
      <c r="E339" s="968">
        <v>9776</v>
      </c>
      <c r="F339" s="969">
        <v>9190</v>
      </c>
      <c r="G339" s="970">
        <v>9628</v>
      </c>
      <c r="H339" s="344" t="s">
        <v>851</v>
      </c>
      <c r="I339" s="451" t="s">
        <v>852</v>
      </c>
    </row>
    <row r="340" spans="1:9" x14ac:dyDescent="0.25">
      <c r="A340" s="10"/>
      <c r="B340" s="11"/>
      <c r="C340" s="967">
        <f>+(E340-F340)/F340</f>
        <v>5.1288466349762321E-2</v>
      </c>
      <c r="D340" s="190" t="s">
        <v>342</v>
      </c>
      <c r="E340" s="968">
        <v>4202</v>
      </c>
      <c r="F340" s="969">
        <v>3997</v>
      </c>
      <c r="G340" s="970">
        <v>3850</v>
      </c>
      <c r="H340" s="344" t="s">
        <v>851</v>
      </c>
      <c r="I340" s="43" t="s">
        <v>852</v>
      </c>
    </row>
    <row r="341" spans="1:9" x14ac:dyDescent="0.25">
      <c r="A341" s="10"/>
      <c r="B341" s="11"/>
      <c r="C341" s="11"/>
      <c r="D341" s="190" t="s">
        <v>606</v>
      </c>
      <c r="E341" s="968">
        <v>-1863</v>
      </c>
      <c r="F341" s="969">
        <v>-1259</v>
      </c>
      <c r="G341" s="971">
        <v>-1255</v>
      </c>
      <c r="H341" s="344" t="s">
        <v>851</v>
      </c>
      <c r="I341" s="43" t="s">
        <v>852</v>
      </c>
    </row>
    <row r="342" spans="1:9" x14ac:dyDescent="0.25">
      <c r="A342" s="10"/>
      <c r="B342" s="11"/>
      <c r="C342" s="11"/>
      <c r="D342" s="190" t="s">
        <v>607</v>
      </c>
      <c r="E342" s="968">
        <v>132</v>
      </c>
      <c r="F342" s="969">
        <v>139</v>
      </c>
      <c r="G342" s="971">
        <v>159</v>
      </c>
      <c r="H342" s="344" t="s">
        <v>851</v>
      </c>
      <c r="I342" s="43" t="s">
        <v>852</v>
      </c>
    </row>
    <row r="343" spans="1:9" ht="15.75" thickBot="1" x14ac:dyDescent="0.3">
      <c r="A343" s="10"/>
      <c r="B343" s="11"/>
      <c r="C343" s="11"/>
      <c r="D343" s="190"/>
      <c r="E343" s="900">
        <f>SUM(E339:E342)</f>
        <v>12247</v>
      </c>
      <c r="F343" s="901">
        <f>SUM(F339:F342)</f>
        <v>12067</v>
      </c>
      <c r="G343" s="219">
        <f>SUM(G339:G342)</f>
        <v>12382</v>
      </c>
      <c r="H343" s="222"/>
      <c r="I343" s="120"/>
    </row>
    <row r="344" spans="1:9" ht="15.75" thickTop="1" x14ac:dyDescent="0.25">
      <c r="A344" s="10"/>
      <c r="B344" s="11"/>
      <c r="C344" s="11"/>
      <c r="D344" s="190"/>
      <c r="E344" s="902"/>
      <c r="F344" s="903"/>
      <c r="G344" s="705"/>
      <c r="H344" s="222"/>
      <c r="I344" s="120"/>
    </row>
    <row r="345" spans="1:9" x14ac:dyDescent="0.25">
      <c r="A345" s="10"/>
      <c r="B345" s="25" t="s">
        <v>350</v>
      </c>
      <c r="C345" s="26"/>
      <c r="D345" s="27"/>
      <c r="E345" s="797"/>
      <c r="F345" s="798"/>
      <c r="G345" s="557"/>
      <c r="H345" s="557"/>
      <c r="I345" s="31"/>
    </row>
    <row r="346" spans="1:9" x14ac:dyDescent="0.25">
      <c r="A346" s="10"/>
      <c r="B346" s="354"/>
      <c r="C346" s="104" t="s">
        <v>351</v>
      </c>
      <c r="D346" s="105"/>
      <c r="E346" s="848"/>
      <c r="F346" s="849"/>
      <c r="G346" s="612"/>
      <c r="H346" s="612"/>
      <c r="I346" s="109"/>
    </row>
    <row r="347" spans="1:9" x14ac:dyDescent="0.25">
      <c r="A347" s="10"/>
      <c r="B347" s="354"/>
      <c r="C347" s="11"/>
      <c r="D347" s="190" t="s">
        <v>352</v>
      </c>
      <c r="E347" s="902">
        <v>19.831</v>
      </c>
      <c r="F347" s="903">
        <v>19.623999999999999</v>
      </c>
      <c r="G347" s="705"/>
      <c r="H347" s="705"/>
      <c r="I347" s="355"/>
    </row>
    <row r="348" spans="1:9" x14ac:dyDescent="0.25">
      <c r="A348" s="10"/>
      <c r="B348" s="354"/>
      <c r="C348" s="11"/>
      <c r="D348" s="190"/>
      <c r="E348" s="902"/>
      <c r="F348" s="903"/>
      <c r="G348" s="705"/>
      <c r="H348" s="705"/>
      <c r="I348" s="355"/>
    </row>
    <row r="349" spans="1:9" x14ac:dyDescent="0.25">
      <c r="A349" s="10"/>
      <c r="B349" s="354"/>
      <c r="C349" s="11"/>
      <c r="D349" s="190"/>
      <c r="E349" s="902"/>
      <c r="F349" s="903"/>
      <c r="G349" s="705"/>
      <c r="H349" s="705"/>
      <c r="I349" s="355"/>
    </row>
    <row r="350" spans="1:9" x14ac:dyDescent="0.25">
      <c r="A350" s="10"/>
      <c r="B350" s="354"/>
      <c r="C350" s="11"/>
      <c r="D350" s="190"/>
      <c r="E350" s="902"/>
      <c r="F350" s="903"/>
      <c r="G350" s="705"/>
      <c r="H350" s="705"/>
      <c r="I350" s="355"/>
    </row>
    <row r="351" spans="1:9" x14ac:dyDescent="0.25">
      <c r="A351" s="10"/>
      <c r="B351" s="354"/>
      <c r="C351" s="104" t="s">
        <v>353</v>
      </c>
      <c r="D351" s="105"/>
      <c r="E351" s="848"/>
      <c r="F351" s="849"/>
      <c r="G351" s="612"/>
      <c r="H351" s="612"/>
      <c r="I351" s="109"/>
    </row>
    <row r="352" spans="1:9" x14ac:dyDescent="0.25">
      <c r="A352" s="10"/>
      <c r="B352" s="354"/>
      <c r="C352" s="11"/>
      <c r="D352" s="190" t="s">
        <v>354</v>
      </c>
      <c r="E352" s="902"/>
      <c r="F352" s="903"/>
      <c r="G352" s="705"/>
      <c r="H352" s="705"/>
      <c r="I352" s="355"/>
    </row>
    <row r="353" spans="1:9" x14ac:dyDescent="0.25">
      <c r="A353" s="10"/>
      <c r="B353" s="354"/>
      <c r="C353" s="11"/>
      <c r="D353" s="281" t="s">
        <v>355</v>
      </c>
      <c r="E353" s="972">
        <f>E329</f>
        <v>922</v>
      </c>
      <c r="F353" s="973">
        <f>F329</f>
        <v>897</v>
      </c>
      <c r="G353" s="751">
        <f>G329</f>
        <v>900</v>
      </c>
      <c r="H353" s="752"/>
      <c r="I353" s="43" t="s">
        <v>853</v>
      </c>
    </row>
    <row r="354" spans="1:9" x14ac:dyDescent="0.25">
      <c r="A354" s="10"/>
      <c r="B354" s="354"/>
      <c r="C354" s="11"/>
      <c r="D354" s="281" t="s">
        <v>356</v>
      </c>
      <c r="E354" s="974"/>
      <c r="F354" s="975"/>
      <c r="G354" s="752"/>
      <c r="H354" s="752"/>
      <c r="I354" s="355"/>
    </row>
    <row r="355" spans="1:9" x14ac:dyDescent="0.25">
      <c r="A355" s="10"/>
      <c r="B355" s="354"/>
      <c r="C355" s="11"/>
      <c r="D355" s="281" t="s">
        <v>357</v>
      </c>
      <c r="E355" s="976"/>
      <c r="F355" s="977"/>
      <c r="G355" s="755"/>
      <c r="H355" s="752"/>
      <c r="I355" s="355"/>
    </row>
    <row r="356" spans="1:9" x14ac:dyDescent="0.25">
      <c r="A356" s="10"/>
      <c r="B356" s="354"/>
      <c r="C356" s="11"/>
      <c r="D356" s="190"/>
      <c r="E356" s="974"/>
      <c r="F356" s="975"/>
      <c r="G356" s="752"/>
      <c r="H356" s="752"/>
      <c r="I356" s="355"/>
    </row>
    <row r="357" spans="1:9" x14ac:dyDescent="0.25">
      <c r="A357" s="10"/>
      <c r="B357" s="354"/>
      <c r="C357" s="11"/>
      <c r="D357" s="190" t="s">
        <v>358</v>
      </c>
      <c r="E357" s="974"/>
      <c r="F357" s="975"/>
      <c r="G357" s="752"/>
      <c r="H357" s="752"/>
      <c r="I357" s="355"/>
    </row>
    <row r="358" spans="1:9" x14ac:dyDescent="0.25">
      <c r="A358" s="10"/>
      <c r="B358" s="354"/>
      <c r="C358" s="11"/>
      <c r="D358" s="281" t="s">
        <v>355</v>
      </c>
      <c r="E358" s="972">
        <f>E328</f>
        <v>1298</v>
      </c>
      <c r="F358" s="973">
        <f>F328</f>
        <v>1250</v>
      </c>
      <c r="G358" s="751">
        <f>G328</f>
        <v>1235</v>
      </c>
      <c r="H358" s="752"/>
      <c r="I358" s="43" t="s">
        <v>854</v>
      </c>
    </row>
    <row r="359" spans="1:9" x14ac:dyDescent="0.25">
      <c r="A359" s="10"/>
      <c r="B359" s="354"/>
      <c r="C359" s="11"/>
      <c r="D359" s="281" t="s">
        <v>359</v>
      </c>
      <c r="E359" s="974"/>
      <c r="F359" s="975"/>
      <c r="G359" s="752"/>
      <c r="H359" s="752"/>
      <c r="I359" s="355"/>
    </row>
    <row r="360" spans="1:9" x14ac:dyDescent="0.25">
      <c r="A360" s="10"/>
      <c r="B360" s="354"/>
      <c r="C360" s="11"/>
      <c r="D360" s="281" t="s">
        <v>360</v>
      </c>
      <c r="E360" s="976"/>
      <c r="F360" s="977"/>
      <c r="G360" s="755"/>
      <c r="H360" s="752"/>
      <c r="I360" s="355"/>
    </row>
    <row r="361" spans="1:9" x14ac:dyDescent="0.25">
      <c r="A361" s="10"/>
      <c r="B361" s="354"/>
      <c r="C361" s="11"/>
      <c r="D361" s="281"/>
      <c r="E361" s="974"/>
      <c r="F361" s="975"/>
      <c r="G361" s="752"/>
      <c r="H361" s="752"/>
      <c r="I361" s="355"/>
    </row>
    <row r="362" spans="1:9" x14ac:dyDescent="0.25">
      <c r="A362" s="10"/>
      <c r="B362" s="354"/>
      <c r="C362" s="11"/>
      <c r="D362" s="190" t="s">
        <v>361</v>
      </c>
      <c r="E362" s="974"/>
      <c r="F362" s="975"/>
      <c r="G362" s="752"/>
      <c r="H362" s="752"/>
      <c r="I362" s="355"/>
    </row>
    <row r="363" spans="1:9" x14ac:dyDescent="0.25">
      <c r="A363" s="10"/>
      <c r="B363" s="354"/>
      <c r="C363" s="11"/>
      <c r="D363" s="281" t="s">
        <v>355</v>
      </c>
      <c r="E363" s="972">
        <f>SUM(E353,E358)</f>
        <v>2220</v>
      </c>
      <c r="F363" s="973">
        <f>SUM(F353,F358)</f>
        <v>2147</v>
      </c>
      <c r="G363" s="751">
        <f t="shared" ref="G363:G365" si="3">SUM(G353,G358)</f>
        <v>2135</v>
      </c>
      <c r="H363" s="752"/>
      <c r="I363" s="355"/>
    </row>
    <row r="364" spans="1:9" x14ac:dyDescent="0.25">
      <c r="A364" s="10"/>
      <c r="B364" s="354"/>
      <c r="C364" s="11"/>
      <c r="D364" s="281" t="s">
        <v>362</v>
      </c>
      <c r="E364" s="974">
        <f>SUM(E354,E359)</f>
        <v>0</v>
      </c>
      <c r="F364" s="975">
        <f t="shared" ref="F364:F365" si="4">SUM(F354,F359)</f>
        <v>0</v>
      </c>
      <c r="G364" s="752">
        <f t="shared" si="3"/>
        <v>0</v>
      </c>
      <c r="H364" s="752"/>
      <c r="I364" s="355"/>
    </row>
    <row r="365" spans="1:9" x14ac:dyDescent="0.25">
      <c r="A365" s="10"/>
      <c r="B365" s="354"/>
      <c r="C365" s="11"/>
      <c r="D365" s="281" t="s">
        <v>360</v>
      </c>
      <c r="E365" s="976">
        <f>SUM(E355,E360)</f>
        <v>0</v>
      </c>
      <c r="F365" s="977">
        <f t="shared" si="4"/>
        <v>0</v>
      </c>
      <c r="G365" s="755">
        <f t="shared" si="3"/>
        <v>0</v>
      </c>
      <c r="H365" s="752"/>
      <c r="I365" s="355"/>
    </row>
    <row r="366" spans="1:9" x14ac:dyDescent="0.25">
      <c r="A366" s="10"/>
      <c r="B366" s="354"/>
      <c r="C366" s="11"/>
      <c r="D366" s="281"/>
      <c r="E366" s="978"/>
      <c r="F366" s="975"/>
      <c r="G366" s="752"/>
      <c r="H366" s="752"/>
      <c r="I366" s="355"/>
    </row>
    <row r="367" spans="1:9" x14ac:dyDescent="0.25">
      <c r="A367" s="10"/>
      <c r="B367" s="365"/>
      <c r="C367" s="11"/>
      <c r="D367" s="190"/>
      <c r="E367" s="902"/>
      <c r="F367" s="903"/>
      <c r="G367" s="705"/>
      <c r="H367" s="705"/>
      <c r="I367" s="355"/>
    </row>
    <row r="368" spans="1:9" x14ac:dyDescent="0.25">
      <c r="A368" s="10"/>
      <c r="B368" s="25" t="s">
        <v>363</v>
      </c>
      <c r="C368" s="26"/>
      <c r="D368" s="27"/>
      <c r="E368" s="797"/>
      <c r="F368" s="798"/>
      <c r="G368" s="557"/>
      <c r="H368" s="366"/>
      <c r="I368" s="366"/>
    </row>
    <row r="369" spans="1:9" x14ac:dyDescent="0.25">
      <c r="A369" s="10"/>
      <c r="C369" s="104" t="s">
        <v>364</v>
      </c>
      <c r="D369" s="105"/>
      <c r="E369" s="848"/>
      <c r="F369" s="849"/>
      <c r="G369" s="612"/>
      <c r="H369" s="612"/>
      <c r="I369" s="109"/>
    </row>
    <row r="370" spans="1:9" x14ac:dyDescent="0.25">
      <c r="A370" s="10"/>
      <c r="C370" s="32"/>
      <c r="D370" s="190" t="s">
        <v>365</v>
      </c>
      <c r="E370" s="979">
        <f>E373/E372</f>
        <v>1.9378556794900978</v>
      </c>
      <c r="F370" s="980">
        <f>F373/F372</f>
        <v>1.9678531701890989</v>
      </c>
      <c r="G370" s="981">
        <f>G373/G372</f>
        <v>1.9714601769911504</v>
      </c>
      <c r="H370" s="839" t="s">
        <v>21</v>
      </c>
      <c r="I370" s="839" t="s">
        <v>21</v>
      </c>
    </row>
    <row r="371" spans="1:9" x14ac:dyDescent="0.25">
      <c r="A371" s="10"/>
      <c r="C371" s="32"/>
      <c r="D371" s="190" t="s">
        <v>368</v>
      </c>
      <c r="E371" s="979">
        <v>1.5</v>
      </c>
      <c r="F371" s="980">
        <v>1.5</v>
      </c>
      <c r="G371" s="981">
        <v>1.5</v>
      </c>
      <c r="H371" s="216" t="s">
        <v>855</v>
      </c>
      <c r="I371" s="373"/>
    </row>
    <row r="372" spans="1:9" x14ac:dyDescent="0.25">
      <c r="A372" s="10"/>
      <c r="C372" s="32"/>
      <c r="D372" s="190" t="s">
        <v>370</v>
      </c>
      <c r="E372" s="890">
        <v>8786</v>
      </c>
      <c r="F372" s="891">
        <v>8990</v>
      </c>
      <c r="G372" s="666">
        <v>9040</v>
      </c>
      <c r="H372" s="43" t="s">
        <v>856</v>
      </c>
      <c r="I372" s="43" t="s">
        <v>857</v>
      </c>
    </row>
    <row r="373" spans="1:9" x14ac:dyDescent="0.25">
      <c r="A373" s="10"/>
      <c r="C373" s="32"/>
      <c r="D373" s="190" t="s">
        <v>371</v>
      </c>
      <c r="E373" s="890">
        <v>17026</v>
      </c>
      <c r="F373" s="891">
        <v>17691</v>
      </c>
      <c r="G373" s="666">
        <v>17822</v>
      </c>
      <c r="H373" s="43" t="s">
        <v>856</v>
      </c>
      <c r="I373" s="43" t="s">
        <v>857</v>
      </c>
    </row>
    <row r="374" spans="1:9" x14ac:dyDescent="0.25">
      <c r="A374" s="10"/>
      <c r="C374" s="32"/>
      <c r="D374" s="190" t="s">
        <v>372</v>
      </c>
      <c r="E374" s="898"/>
      <c r="F374" s="899"/>
      <c r="G374" s="216"/>
      <c r="H374" s="839" t="s">
        <v>21</v>
      </c>
      <c r="I374" s="839" t="s">
        <v>21</v>
      </c>
    </row>
    <row r="375" spans="1:9" x14ac:dyDescent="0.25">
      <c r="A375" s="10"/>
      <c r="C375" s="32"/>
      <c r="D375" s="190" t="s">
        <v>374</v>
      </c>
      <c r="E375" s="890">
        <f>E373-E372</f>
        <v>8240</v>
      </c>
      <c r="F375" s="891">
        <f>F373-F372</f>
        <v>8701</v>
      </c>
      <c r="G375" s="666">
        <f>G373-G372</f>
        <v>8782</v>
      </c>
      <c r="H375" s="839" t="s">
        <v>21</v>
      </c>
      <c r="I375" s="839" t="s">
        <v>21</v>
      </c>
    </row>
    <row r="376" spans="1:9" x14ac:dyDescent="0.25">
      <c r="A376" s="10"/>
      <c r="C376" s="32"/>
      <c r="D376" s="378" t="s">
        <v>375</v>
      </c>
      <c r="E376" s="982">
        <v>1922</v>
      </c>
      <c r="F376" s="983">
        <v>1902</v>
      </c>
      <c r="G376" s="767">
        <v>1711</v>
      </c>
      <c r="H376" s="534" t="s">
        <v>858</v>
      </c>
      <c r="I376" s="382" t="s">
        <v>859</v>
      </c>
    </row>
    <row r="377" spans="1:9" x14ac:dyDescent="0.25">
      <c r="A377" s="10"/>
      <c r="C377" s="32"/>
      <c r="D377" s="190"/>
      <c r="E377" s="890"/>
      <c r="F377" s="891"/>
      <c r="G377" s="666"/>
      <c r="H377" s="666"/>
      <c r="I377" s="128"/>
    </row>
    <row r="378" spans="1:9" x14ac:dyDescent="0.25">
      <c r="A378" s="10"/>
      <c r="C378" s="32"/>
      <c r="D378" s="190"/>
      <c r="E378" s="890"/>
      <c r="F378" s="891"/>
      <c r="G378" s="666"/>
      <c r="H378" s="666"/>
      <c r="I378" s="128"/>
    </row>
    <row r="379" spans="1:9" x14ac:dyDescent="0.25">
      <c r="A379" s="10"/>
      <c r="B379" s="25" t="s">
        <v>378</v>
      </c>
      <c r="C379" s="26"/>
      <c r="D379" s="27"/>
      <c r="E379" s="797"/>
      <c r="F379" s="798"/>
      <c r="G379" s="557"/>
      <c r="H379" s="366"/>
      <c r="I379" s="366"/>
    </row>
    <row r="380" spans="1:9" x14ac:dyDescent="0.25">
      <c r="A380" s="10"/>
      <c r="C380" s="32"/>
      <c r="D380" s="210" t="s">
        <v>860</v>
      </c>
      <c r="E380" s="890"/>
      <c r="F380" s="891"/>
      <c r="G380" s="666"/>
      <c r="H380" s="666"/>
      <c r="I380" s="128"/>
    </row>
    <row r="381" spans="1:9" x14ac:dyDescent="0.25">
      <c r="A381" s="10"/>
      <c r="C381" s="32"/>
      <c r="D381" s="190" t="s">
        <v>861</v>
      </c>
      <c r="E381" s="890">
        <v>39492</v>
      </c>
      <c r="F381" s="891">
        <v>40046</v>
      </c>
      <c r="G381" s="666">
        <v>42276</v>
      </c>
      <c r="H381" s="88" t="s">
        <v>862</v>
      </c>
      <c r="I381" s="88" t="s">
        <v>863</v>
      </c>
    </row>
    <row r="382" spans="1:9" x14ac:dyDescent="0.25">
      <c r="A382" s="10"/>
      <c r="C382" s="32"/>
      <c r="D382" s="190" t="s">
        <v>864</v>
      </c>
      <c r="E382" s="890">
        <v>7918</v>
      </c>
      <c r="F382" s="891">
        <v>7671</v>
      </c>
      <c r="G382" s="666">
        <v>8125</v>
      </c>
      <c r="H382" s="88" t="s">
        <v>862</v>
      </c>
      <c r="I382" s="88" t="s">
        <v>863</v>
      </c>
    </row>
    <row r="383" spans="1:9" x14ac:dyDescent="0.25">
      <c r="A383" s="10"/>
      <c r="C383" s="32"/>
      <c r="D383" s="190" t="s">
        <v>865</v>
      </c>
      <c r="E383" s="890">
        <v>23325</v>
      </c>
      <c r="F383" s="891">
        <v>23308</v>
      </c>
      <c r="G383" s="666">
        <v>23065</v>
      </c>
      <c r="H383" s="88" t="s">
        <v>862</v>
      </c>
      <c r="I383" s="88" t="s">
        <v>863</v>
      </c>
    </row>
    <row r="384" spans="1:9" x14ac:dyDescent="0.25">
      <c r="A384" s="10"/>
      <c r="C384" s="32"/>
      <c r="D384" s="190" t="s">
        <v>633</v>
      </c>
      <c r="E384" s="890">
        <v>2423</v>
      </c>
      <c r="F384" s="891">
        <v>2642</v>
      </c>
      <c r="G384" s="666">
        <v>3225</v>
      </c>
      <c r="H384" s="88" t="s">
        <v>862</v>
      </c>
      <c r="I384" s="88" t="s">
        <v>863</v>
      </c>
    </row>
    <row r="385" spans="1:9" x14ac:dyDescent="0.25">
      <c r="A385" s="10"/>
      <c r="C385" s="32"/>
      <c r="D385" s="190" t="s">
        <v>866</v>
      </c>
      <c r="E385" s="890">
        <v>58265</v>
      </c>
      <c r="F385" s="891">
        <v>61729</v>
      </c>
      <c r="G385" s="666">
        <v>62066</v>
      </c>
      <c r="H385" s="88" t="s">
        <v>862</v>
      </c>
      <c r="I385" s="88" t="s">
        <v>863</v>
      </c>
    </row>
    <row r="386" spans="1:9" x14ac:dyDescent="0.25">
      <c r="A386" s="10"/>
      <c r="C386" s="32"/>
      <c r="D386" s="190" t="s">
        <v>867</v>
      </c>
      <c r="E386" s="984">
        <v>1133</v>
      </c>
      <c r="F386" s="985">
        <v>1134</v>
      </c>
      <c r="G386" s="986">
        <v>1136</v>
      </c>
      <c r="H386" s="88" t="s">
        <v>862</v>
      </c>
      <c r="I386" s="88" t="s">
        <v>863</v>
      </c>
    </row>
    <row r="387" spans="1:9" x14ac:dyDescent="0.25">
      <c r="A387" s="10"/>
      <c r="C387" s="32"/>
      <c r="D387" s="391" t="s">
        <v>416</v>
      </c>
      <c r="E387" s="987">
        <f>SUM(E381:E386)</f>
        <v>132556</v>
      </c>
      <c r="F387" s="988">
        <f>SUM(F381:F386)</f>
        <v>136530</v>
      </c>
      <c r="G387" s="773">
        <f>SUM(G381:G386)</f>
        <v>139893</v>
      </c>
      <c r="H387" s="989" t="s">
        <v>384</v>
      </c>
      <c r="I387" s="990" t="s">
        <v>384</v>
      </c>
    </row>
    <row r="388" spans="1:9" x14ac:dyDescent="0.25">
      <c r="A388" s="10"/>
      <c r="C388" s="32"/>
      <c r="D388" s="190"/>
      <c r="E388" s="890"/>
      <c r="F388" s="891"/>
      <c r="G388" s="666"/>
      <c r="H388" s="991" t="s">
        <v>384</v>
      </c>
      <c r="I388" s="377" t="s">
        <v>384</v>
      </c>
    </row>
    <row r="389" spans="1:9" x14ac:dyDescent="0.25">
      <c r="A389" s="10"/>
      <c r="C389" s="32"/>
      <c r="D389" s="210" t="s">
        <v>868</v>
      </c>
      <c r="E389" s="890"/>
      <c r="F389" s="891"/>
      <c r="G389" s="666"/>
      <c r="H389" s="991" t="s">
        <v>384</v>
      </c>
      <c r="I389" s="88" t="s">
        <v>384</v>
      </c>
    </row>
    <row r="390" spans="1:9" x14ac:dyDescent="0.25">
      <c r="A390" s="10"/>
      <c r="C390" s="32"/>
      <c r="D390" s="190" t="s">
        <v>869</v>
      </c>
      <c r="E390" s="890">
        <v>2770</v>
      </c>
      <c r="F390" s="891">
        <v>3533</v>
      </c>
      <c r="G390" s="666">
        <v>3654</v>
      </c>
      <c r="H390" s="88" t="s">
        <v>862</v>
      </c>
      <c r="I390" s="88" t="s">
        <v>863</v>
      </c>
    </row>
    <row r="391" spans="1:9" x14ac:dyDescent="0.25">
      <c r="A391" s="10"/>
      <c r="C391" s="32"/>
      <c r="D391" s="190" t="s">
        <v>870</v>
      </c>
      <c r="E391" s="890">
        <v>106</v>
      </c>
      <c r="F391" s="891">
        <v>138</v>
      </c>
      <c r="G391" s="666">
        <v>182</v>
      </c>
      <c r="H391" s="88" t="s">
        <v>862</v>
      </c>
      <c r="I391" s="88" t="s">
        <v>863</v>
      </c>
    </row>
    <row r="392" spans="1:9" x14ac:dyDescent="0.25">
      <c r="A392" s="10"/>
      <c r="C392" s="32"/>
      <c r="D392" s="190" t="s">
        <v>871</v>
      </c>
      <c r="E392" s="890">
        <v>11932</v>
      </c>
      <c r="F392" s="891">
        <v>12007</v>
      </c>
      <c r="G392" s="666">
        <v>12887</v>
      </c>
      <c r="H392" s="88" t="s">
        <v>862</v>
      </c>
      <c r="I392" s="88" t="s">
        <v>863</v>
      </c>
    </row>
    <row r="393" spans="1:9" x14ac:dyDescent="0.25">
      <c r="A393" s="10"/>
      <c r="C393" s="32"/>
      <c r="D393" s="190" t="s">
        <v>872</v>
      </c>
      <c r="E393" s="890">
        <v>5527</v>
      </c>
      <c r="F393" s="891">
        <v>4770</v>
      </c>
      <c r="G393" s="666">
        <v>3975</v>
      </c>
      <c r="H393" s="88" t="s">
        <v>862</v>
      </c>
      <c r="I393" s="88" t="s">
        <v>863</v>
      </c>
    </row>
    <row r="394" spans="1:9" x14ac:dyDescent="0.25">
      <c r="A394" s="10"/>
      <c r="C394" s="32"/>
      <c r="D394" s="391" t="s">
        <v>416</v>
      </c>
      <c r="E394" s="987">
        <f>SUM(E390:E393)</f>
        <v>20335</v>
      </c>
      <c r="F394" s="988">
        <f>SUM(F390:F393)</f>
        <v>20448</v>
      </c>
      <c r="G394" s="773">
        <f>SUM(G390:G393)</f>
        <v>20698</v>
      </c>
      <c r="H394" s="989" t="s">
        <v>384</v>
      </c>
      <c r="I394" s="990" t="s">
        <v>384</v>
      </c>
    </row>
    <row r="395" spans="1:9" x14ac:dyDescent="0.25">
      <c r="A395" s="10"/>
      <c r="C395" s="32"/>
      <c r="D395" s="190"/>
      <c r="E395" s="890"/>
      <c r="F395" s="891"/>
      <c r="G395" s="666"/>
      <c r="H395" s="991" t="s">
        <v>384</v>
      </c>
      <c r="I395" s="88" t="s">
        <v>384</v>
      </c>
    </row>
    <row r="396" spans="1:9" x14ac:dyDescent="0.25">
      <c r="A396" s="10"/>
      <c r="C396" s="32"/>
      <c r="D396" s="210" t="s">
        <v>873</v>
      </c>
      <c r="E396" s="890">
        <v>2684</v>
      </c>
      <c r="F396" s="891">
        <v>2486</v>
      </c>
      <c r="G396" s="666">
        <v>2452</v>
      </c>
      <c r="H396" s="88" t="s">
        <v>874</v>
      </c>
      <c r="I396" s="88" t="s">
        <v>875</v>
      </c>
    </row>
    <row r="397" spans="1:9" x14ac:dyDescent="0.25">
      <c r="A397" s="10"/>
      <c r="C397" s="32"/>
      <c r="D397" s="210" t="s">
        <v>876</v>
      </c>
      <c r="E397" s="890">
        <v>8471</v>
      </c>
      <c r="F397" s="891">
        <v>10682</v>
      </c>
      <c r="G397" s="666">
        <v>9295</v>
      </c>
      <c r="H397" s="88" t="s">
        <v>862</v>
      </c>
      <c r="I397" s="88" t="s">
        <v>863</v>
      </c>
    </row>
    <row r="398" spans="1:9" x14ac:dyDescent="0.25">
      <c r="A398" s="992"/>
      <c r="C398" s="32"/>
      <c r="D398" s="391" t="s">
        <v>416</v>
      </c>
      <c r="E398" s="987">
        <f>SUM(E397,E394,E387,E396)</f>
        <v>164046</v>
      </c>
      <c r="F398" s="988">
        <f>SUM(F397,F394,F387,F396)</f>
        <v>170146</v>
      </c>
      <c r="G398" s="773">
        <f>SUM(G397,G394,G387,G396)</f>
        <v>172338</v>
      </c>
      <c r="H398" s="772"/>
      <c r="I398" s="993" t="s">
        <v>877</v>
      </c>
    </row>
    <row r="399" spans="1:9" x14ac:dyDescent="0.25">
      <c r="A399" s="992"/>
      <c r="C399" s="32"/>
      <c r="D399" s="391"/>
      <c r="E399" s="987"/>
      <c r="F399" s="988"/>
      <c r="G399" s="773"/>
      <c r="H399" s="772"/>
      <c r="I399" s="993"/>
    </row>
    <row r="400" spans="1:9" x14ac:dyDescent="0.25">
      <c r="A400" s="992"/>
      <c r="C400" s="32"/>
      <c r="D400" s="210" t="s">
        <v>423</v>
      </c>
      <c r="E400" s="987">
        <f>+SUM(E401:E403)</f>
        <v>183252</v>
      </c>
      <c r="F400" s="988">
        <f>+SUM(F401:F403)</f>
        <v>180980</v>
      </c>
      <c r="G400" s="773">
        <f>+SUM(G401:G403)</f>
        <v>178514</v>
      </c>
      <c r="H400" s="772"/>
      <c r="I400" s="993"/>
    </row>
    <row r="401" spans="1:9" x14ac:dyDescent="0.25">
      <c r="A401" s="10"/>
      <c r="C401" s="32"/>
      <c r="D401" s="159" t="s">
        <v>426</v>
      </c>
      <c r="E401" s="890">
        <v>106050</v>
      </c>
      <c r="F401" s="891">
        <v>110100</v>
      </c>
      <c r="G401" s="666">
        <v>115061</v>
      </c>
      <c r="H401" s="666" t="s">
        <v>301</v>
      </c>
      <c r="I401" s="43" t="s">
        <v>506</v>
      </c>
    </row>
    <row r="402" spans="1:9" x14ac:dyDescent="0.25">
      <c r="A402" s="10"/>
      <c r="C402" s="32"/>
      <c r="D402" s="159" t="s">
        <v>428</v>
      </c>
      <c r="E402" s="890">
        <v>54968</v>
      </c>
      <c r="F402" s="891">
        <v>49392</v>
      </c>
      <c r="G402" s="666">
        <v>43162</v>
      </c>
      <c r="H402" s="666" t="s">
        <v>301</v>
      </c>
      <c r="I402" s="43" t="s">
        <v>506</v>
      </c>
    </row>
    <row r="403" spans="1:9" x14ac:dyDescent="0.25">
      <c r="A403" s="10"/>
      <c r="C403" s="32"/>
      <c r="D403" s="159" t="s">
        <v>429</v>
      </c>
      <c r="E403" s="890">
        <v>22234</v>
      </c>
      <c r="F403" s="891">
        <v>21488</v>
      </c>
      <c r="G403" s="666">
        <v>20291</v>
      </c>
      <c r="H403" s="666" t="s">
        <v>301</v>
      </c>
      <c r="I403" s="43" t="s">
        <v>506</v>
      </c>
    </row>
    <row r="404" spans="1:9" x14ac:dyDescent="0.25">
      <c r="A404" s="10"/>
      <c r="C404" s="32"/>
      <c r="D404" s="190"/>
      <c r="E404" s="890"/>
      <c r="F404" s="891"/>
      <c r="G404" s="666"/>
      <c r="H404" s="666"/>
      <c r="I404" s="43"/>
    </row>
    <row r="405" spans="1:9" x14ac:dyDescent="0.25">
      <c r="A405" s="10"/>
      <c r="B405" s="25" t="s">
        <v>878</v>
      </c>
      <c r="C405" s="26"/>
      <c r="D405" s="27"/>
      <c r="E405" s="797"/>
      <c r="F405" s="798"/>
      <c r="G405" s="557"/>
      <c r="H405" s="366"/>
      <c r="I405" s="994"/>
    </row>
    <row r="406" spans="1:9" x14ac:dyDescent="0.25">
      <c r="A406" s="992"/>
      <c r="C406" s="32"/>
      <c r="D406" s="190" t="s">
        <v>879</v>
      </c>
      <c r="E406" s="890">
        <f>+E408-E407</f>
        <v>32591</v>
      </c>
      <c r="F406" s="891">
        <f>+F408-F407</f>
        <v>34095</v>
      </c>
      <c r="G406" s="666">
        <f>+G408-G407</f>
        <v>34525</v>
      </c>
      <c r="H406" s="88" t="s">
        <v>880</v>
      </c>
      <c r="I406" s="88" t="s">
        <v>881</v>
      </c>
    </row>
    <row r="407" spans="1:9" x14ac:dyDescent="0.25">
      <c r="A407" s="992"/>
      <c r="C407" s="32"/>
      <c r="D407" s="190" t="s">
        <v>882</v>
      </c>
      <c r="E407" s="890">
        <f>108114+6427</f>
        <v>114541</v>
      </c>
      <c r="F407" s="891">
        <f>104312+6302</f>
        <v>110614</v>
      </c>
      <c r="G407" s="666">
        <f>100125+6025</f>
        <v>106150</v>
      </c>
      <c r="H407" s="88" t="s">
        <v>880</v>
      </c>
      <c r="I407" s="88" t="s">
        <v>881</v>
      </c>
    </row>
    <row r="408" spans="1:9" x14ac:dyDescent="0.25">
      <c r="A408" s="992"/>
      <c r="D408" s="210" t="s">
        <v>416</v>
      </c>
      <c r="E408" s="852">
        <v>147132</v>
      </c>
      <c r="F408" s="853">
        <v>144709</v>
      </c>
      <c r="G408" s="619">
        <v>140675</v>
      </c>
      <c r="H408" s="88" t="s">
        <v>880</v>
      </c>
      <c r="I408" s="88" t="s">
        <v>881</v>
      </c>
    </row>
    <row r="409" spans="1:9" x14ac:dyDescent="0.25">
      <c r="A409" s="10"/>
      <c r="B409" s="25" t="s">
        <v>883</v>
      </c>
      <c r="C409" s="26"/>
      <c r="D409" s="27"/>
      <c r="E409" s="797"/>
      <c r="F409" s="798"/>
      <c r="G409" s="557"/>
      <c r="H409" s="366"/>
      <c r="I409" s="994"/>
    </row>
    <row r="410" spans="1:9" x14ac:dyDescent="0.25">
      <c r="A410" s="10"/>
      <c r="C410" s="104" t="s">
        <v>884</v>
      </c>
      <c r="D410" s="105"/>
      <c r="E410" s="848"/>
      <c r="F410" s="849"/>
      <c r="G410" s="612"/>
      <c r="H410" s="611"/>
      <c r="I410" s="995"/>
    </row>
    <row r="411" spans="1:9" x14ac:dyDescent="0.25">
      <c r="A411" s="992"/>
      <c r="D411" s="190" t="s">
        <v>879</v>
      </c>
      <c r="E411" s="890">
        <f>SUM(E412:E413)</f>
        <v>3121</v>
      </c>
      <c r="F411" s="891">
        <f>SUM(F412:F413)</f>
        <v>2846</v>
      </c>
      <c r="G411" s="996">
        <f>SUM(G412:G413)</f>
        <v>2915</v>
      </c>
      <c r="H411" s="839" t="s">
        <v>21</v>
      </c>
      <c r="I411" s="839" t="s">
        <v>21</v>
      </c>
    </row>
    <row r="412" spans="1:9" x14ac:dyDescent="0.25">
      <c r="A412" s="10"/>
      <c r="B412" s="11"/>
      <c r="C412" s="11"/>
      <c r="D412" s="121" t="s">
        <v>885</v>
      </c>
      <c r="E412" s="945">
        <v>2139</v>
      </c>
      <c r="F412" s="946">
        <v>1838</v>
      </c>
      <c r="G412" s="740">
        <v>1733</v>
      </c>
      <c r="H412" s="344" t="s">
        <v>886</v>
      </c>
      <c r="I412" s="652" t="s">
        <v>887</v>
      </c>
    </row>
    <row r="413" spans="1:9" x14ac:dyDescent="0.25">
      <c r="A413" s="10"/>
      <c r="B413" s="11"/>
      <c r="C413" s="11"/>
      <c r="D413" s="121" t="s">
        <v>888</v>
      </c>
      <c r="E413" s="854">
        <v>982</v>
      </c>
      <c r="F413" s="855">
        <v>1008</v>
      </c>
      <c r="G413" s="625">
        <v>1182</v>
      </c>
      <c r="H413" s="344" t="s">
        <v>889</v>
      </c>
      <c r="I413" s="652" t="s">
        <v>890</v>
      </c>
    </row>
    <row r="414" spans="1:9" x14ac:dyDescent="0.25">
      <c r="A414" s="992"/>
      <c r="D414" s="190" t="s">
        <v>882</v>
      </c>
      <c r="E414" s="890">
        <v>4304</v>
      </c>
      <c r="F414" s="891">
        <v>3627</v>
      </c>
      <c r="G414" s="666">
        <v>3575</v>
      </c>
      <c r="H414" s="344" t="s">
        <v>891</v>
      </c>
      <c r="I414" s="451" t="s">
        <v>892</v>
      </c>
    </row>
    <row r="415" spans="1:9" x14ac:dyDescent="0.25">
      <c r="A415" s="992"/>
      <c r="D415" s="210" t="s">
        <v>416</v>
      </c>
      <c r="E415" s="852">
        <f>SUM(E411,E414)</f>
        <v>7425</v>
      </c>
      <c r="F415" s="853">
        <f>SUM(F411,F414)</f>
        <v>6473</v>
      </c>
      <c r="G415" s="997">
        <f>SUM(G411,G414)</f>
        <v>6490</v>
      </c>
      <c r="H415" s="222"/>
      <c r="I415" s="222"/>
    </row>
    <row r="416" spans="1:9" x14ac:dyDescent="0.25">
      <c r="A416" s="10"/>
      <c r="C416" s="104" t="s">
        <v>893</v>
      </c>
      <c r="D416" s="105"/>
      <c r="E416" s="848"/>
      <c r="F416" s="849"/>
      <c r="G416" s="612"/>
      <c r="H416" s="611"/>
      <c r="I416" s="995"/>
    </row>
    <row r="417" spans="1:9" x14ac:dyDescent="0.25">
      <c r="A417" s="992"/>
      <c r="D417" s="190" t="s">
        <v>879</v>
      </c>
      <c r="E417" s="890">
        <v>0</v>
      </c>
      <c r="F417" s="891">
        <v>0</v>
      </c>
      <c r="G417" s="666">
        <v>0</v>
      </c>
      <c r="I417" s="998"/>
    </row>
    <row r="418" spans="1:9" x14ac:dyDescent="0.25">
      <c r="A418" s="992"/>
      <c r="D418" s="190" t="s">
        <v>882</v>
      </c>
      <c r="E418" s="890">
        <v>518</v>
      </c>
      <c r="F418" s="891">
        <v>495</v>
      </c>
      <c r="G418" s="666">
        <v>355</v>
      </c>
      <c r="H418" s="344" t="s">
        <v>894</v>
      </c>
      <c r="I418" s="451" t="s">
        <v>895</v>
      </c>
    </row>
    <row r="419" spans="1:9" x14ac:dyDescent="0.25">
      <c r="A419" s="992"/>
      <c r="D419" s="210" t="s">
        <v>416</v>
      </c>
      <c r="E419" s="852">
        <f>SUM(E417:E418)</f>
        <v>518</v>
      </c>
      <c r="F419" s="853">
        <f>SUM(F417:F418)</f>
        <v>495</v>
      </c>
      <c r="G419" s="619">
        <f>SUM(G417:G418)</f>
        <v>355</v>
      </c>
      <c r="H419" s="222"/>
      <c r="I419" s="222"/>
    </row>
    <row r="420" spans="1:9" x14ac:dyDescent="0.25">
      <c r="A420" s="10"/>
      <c r="B420" s="25" t="s">
        <v>896</v>
      </c>
      <c r="C420" s="26"/>
      <c r="D420" s="27"/>
      <c r="E420" s="797"/>
      <c r="F420" s="798"/>
      <c r="G420" s="557"/>
      <c r="H420" s="557"/>
      <c r="I420" s="994"/>
    </row>
    <row r="421" spans="1:9" x14ac:dyDescent="0.25">
      <c r="A421" s="10"/>
      <c r="C421" s="104" t="s">
        <v>897</v>
      </c>
      <c r="D421" s="105"/>
      <c r="E421" s="848"/>
      <c r="F421" s="849"/>
      <c r="G421" s="612"/>
      <c r="H421" s="612"/>
      <c r="I421" s="995"/>
    </row>
    <row r="422" spans="1:9" x14ac:dyDescent="0.25">
      <c r="A422" s="992"/>
      <c r="D422" s="190" t="s">
        <v>898</v>
      </c>
      <c r="E422" s="890">
        <f>SUM(E423:E424)</f>
        <v>24</v>
      </c>
      <c r="F422" s="891">
        <v>20</v>
      </c>
      <c r="G422" s="666">
        <v>27</v>
      </c>
      <c r="H422" s="222"/>
      <c r="I422" s="222"/>
    </row>
    <row r="423" spans="1:9" x14ac:dyDescent="0.25">
      <c r="A423" s="10"/>
      <c r="B423" s="11"/>
      <c r="C423" s="11"/>
      <c r="D423" s="121" t="s">
        <v>885</v>
      </c>
      <c r="E423" s="945">
        <v>24</v>
      </c>
      <c r="F423" s="946">
        <v>20</v>
      </c>
      <c r="G423" s="740">
        <v>27</v>
      </c>
      <c r="H423" s="344" t="s">
        <v>899</v>
      </c>
      <c r="I423" s="652" t="s">
        <v>887</v>
      </c>
    </row>
    <row r="424" spans="1:9" x14ac:dyDescent="0.25">
      <c r="A424" s="10"/>
      <c r="B424" s="11"/>
      <c r="C424" s="11"/>
      <c r="D424" s="121" t="s">
        <v>888</v>
      </c>
      <c r="E424" s="854">
        <v>0</v>
      </c>
      <c r="F424" s="855">
        <v>0</v>
      </c>
      <c r="G424" s="625">
        <v>0</v>
      </c>
      <c r="H424" s="344" t="s">
        <v>889</v>
      </c>
      <c r="I424" s="652" t="s">
        <v>890</v>
      </c>
    </row>
    <row r="425" spans="1:9" x14ac:dyDescent="0.25">
      <c r="A425" s="992"/>
      <c r="D425" s="190" t="s">
        <v>900</v>
      </c>
      <c r="E425" s="890">
        <f>SUM(E426:E427)</f>
        <v>-87</v>
      </c>
      <c r="F425" s="891">
        <f>150+2</f>
        <v>152</v>
      </c>
      <c r="G425" s="666">
        <v>29</v>
      </c>
      <c r="H425" s="222"/>
      <c r="I425" s="222"/>
    </row>
    <row r="426" spans="1:9" ht="14.65" customHeight="1" x14ac:dyDescent="0.25">
      <c r="A426" s="10"/>
      <c r="B426" s="11"/>
      <c r="C426" s="11"/>
      <c r="D426" s="121" t="s">
        <v>885</v>
      </c>
      <c r="E426" s="945">
        <v>-89</v>
      </c>
      <c r="F426" s="946">
        <v>150</v>
      </c>
      <c r="G426" s="740">
        <v>27</v>
      </c>
      <c r="H426" s="344" t="s">
        <v>899</v>
      </c>
      <c r="I426" s="652" t="s">
        <v>887</v>
      </c>
    </row>
    <row r="427" spans="1:9" ht="14.65" customHeight="1" x14ac:dyDescent="0.25">
      <c r="A427" s="10"/>
      <c r="B427" s="11"/>
      <c r="C427" s="11"/>
      <c r="D427" s="121" t="s">
        <v>888</v>
      </c>
      <c r="E427" s="854">
        <v>2</v>
      </c>
      <c r="F427" s="855">
        <v>2</v>
      </c>
      <c r="G427" s="625">
        <v>2</v>
      </c>
      <c r="H427" s="344" t="s">
        <v>889</v>
      </c>
      <c r="I427" s="652" t="s">
        <v>890</v>
      </c>
    </row>
    <row r="428" spans="1:9" x14ac:dyDescent="0.25">
      <c r="A428" s="10"/>
      <c r="C428" s="104" t="s">
        <v>901</v>
      </c>
      <c r="D428" s="105"/>
      <c r="E428" s="848"/>
      <c r="F428" s="849"/>
      <c r="G428" s="612"/>
      <c r="H428" s="612"/>
      <c r="I428" s="995"/>
    </row>
    <row r="429" spans="1:9" x14ac:dyDescent="0.25">
      <c r="A429" s="992"/>
      <c r="D429" s="190" t="s">
        <v>898</v>
      </c>
      <c r="E429" s="890">
        <f>SUM(E430:E431)</f>
        <v>39</v>
      </c>
      <c r="F429" s="891">
        <v>28</v>
      </c>
      <c r="G429" s="666">
        <v>-16</v>
      </c>
      <c r="H429" s="222"/>
      <c r="I429" s="222"/>
    </row>
    <row r="430" spans="1:9" ht="14.65" customHeight="1" x14ac:dyDescent="0.25">
      <c r="A430" s="10"/>
      <c r="B430" s="11"/>
      <c r="C430" s="11"/>
      <c r="D430" s="121" t="s">
        <v>902</v>
      </c>
      <c r="E430" s="353">
        <f>25+1</f>
        <v>26</v>
      </c>
      <c r="F430">
        <f>17</f>
        <v>17</v>
      </c>
      <c r="G430" s="999">
        <f>1+24</f>
        <v>25</v>
      </c>
      <c r="H430" s="344" t="s">
        <v>903</v>
      </c>
      <c r="I430" s="652" t="s">
        <v>904</v>
      </c>
    </row>
    <row r="431" spans="1:9" ht="14.65" customHeight="1" x14ac:dyDescent="0.25">
      <c r="A431" s="10"/>
      <c r="B431" s="11"/>
      <c r="C431" s="11"/>
      <c r="D431" s="1000" t="s">
        <v>905</v>
      </c>
      <c r="E431" s="353">
        <f>1+12</f>
        <v>13</v>
      </c>
      <c r="F431">
        <f>14+25</f>
        <v>39</v>
      </c>
      <c r="G431" s="999">
        <f>-8-31</f>
        <v>-39</v>
      </c>
      <c r="H431" s="344" t="s">
        <v>903</v>
      </c>
      <c r="I431" s="652" t="s">
        <v>904</v>
      </c>
    </row>
    <row r="432" spans="1:9" x14ac:dyDescent="0.25">
      <c r="A432" s="992"/>
      <c r="D432" s="190" t="s">
        <v>900</v>
      </c>
      <c r="E432" s="890">
        <f>SUM(E433:E434)</f>
        <v>6</v>
      </c>
      <c r="F432" s="891">
        <v>46</v>
      </c>
      <c r="G432" s="666">
        <v>31</v>
      </c>
      <c r="H432" s="222"/>
      <c r="I432" s="222"/>
    </row>
    <row r="433" spans="1:9" ht="14.65" customHeight="1" x14ac:dyDescent="0.25">
      <c r="A433" s="10"/>
      <c r="B433" s="11"/>
      <c r="C433" s="11"/>
      <c r="D433" s="121" t="s">
        <v>906</v>
      </c>
      <c r="E433" s="945">
        <f>8-2</f>
        <v>6</v>
      </c>
      <c r="F433" s="946">
        <f>45+1</f>
        <v>46</v>
      </c>
      <c r="G433" s="740">
        <f>12+19</f>
        <v>31</v>
      </c>
      <c r="H433" s="344" t="s">
        <v>903</v>
      </c>
      <c r="I433" s="652" t="s">
        <v>904</v>
      </c>
    </row>
    <row r="434" spans="1:9" ht="14.65" customHeight="1" x14ac:dyDescent="0.25">
      <c r="A434" s="10"/>
      <c r="B434" s="11"/>
      <c r="C434" s="11"/>
      <c r="D434" s="1001" t="s">
        <v>907</v>
      </c>
      <c r="E434" s="854"/>
      <c r="F434" s="855"/>
      <c r="G434" s="625"/>
      <c r="H434" s="344" t="s">
        <v>903</v>
      </c>
      <c r="I434" s="652" t="s">
        <v>904</v>
      </c>
    </row>
    <row r="435" spans="1:9" x14ac:dyDescent="0.25">
      <c r="A435" s="10"/>
      <c r="E435" s="852"/>
      <c r="F435" s="853">
        <f>SUM(F423:F424,F430:F431)</f>
        <v>76</v>
      </c>
      <c r="G435" s="619"/>
      <c r="H435" s="999"/>
      <c r="I435" s="998"/>
    </row>
    <row r="436" spans="1:9" x14ac:dyDescent="0.25">
      <c r="A436" s="10"/>
      <c r="C436" s="1002" t="s">
        <v>416</v>
      </c>
      <c r="E436" s="353">
        <f>SUM(E432,E429,E425,E422)</f>
        <v>-18</v>
      </c>
    </row>
    <row r="437" spans="1:9" x14ac:dyDescent="0.25">
      <c r="A437" s="10"/>
      <c r="B437" s="25" t="s">
        <v>908</v>
      </c>
      <c r="C437" s="26"/>
      <c r="D437" s="27"/>
      <c r="E437" s="797"/>
      <c r="F437" s="798"/>
      <c r="G437" s="557"/>
      <c r="H437" s="557"/>
      <c r="I437" s="994"/>
    </row>
    <row r="438" spans="1:9" x14ac:dyDescent="0.25">
      <c r="A438" s="10"/>
      <c r="C438" s="104" t="s">
        <v>884</v>
      </c>
      <c r="D438" s="105"/>
      <c r="E438" s="848"/>
      <c r="F438" s="849"/>
      <c r="G438" s="612"/>
      <c r="H438" s="611"/>
      <c r="I438" s="995"/>
    </row>
    <row r="439" spans="1:9" x14ac:dyDescent="0.25">
      <c r="A439" s="992"/>
      <c r="D439" s="190" t="s">
        <v>879</v>
      </c>
      <c r="E439" s="1003">
        <f>SUM(E440:E441)</f>
        <v>2846</v>
      </c>
      <c r="F439" s="1004">
        <f>SUM(F440:F441)</f>
        <v>2915</v>
      </c>
      <c r="G439" s="1005">
        <f>SUM(G440:G441)</f>
        <v>2776</v>
      </c>
      <c r="H439" s="839" t="s">
        <v>21</v>
      </c>
      <c r="I439" s="839" t="s">
        <v>21</v>
      </c>
    </row>
    <row r="440" spans="1:9" x14ac:dyDescent="0.25">
      <c r="A440" s="10"/>
      <c r="B440" s="11"/>
      <c r="C440" s="11"/>
      <c r="D440" s="121" t="s">
        <v>885</v>
      </c>
      <c r="E440" s="945">
        <f t="shared" ref="E440:F442" si="5">F412</f>
        <v>1838</v>
      </c>
      <c r="F440" s="946">
        <f t="shared" si="5"/>
        <v>1733</v>
      </c>
      <c r="G440" s="740">
        <v>1650</v>
      </c>
      <c r="H440" s="839" t="s">
        <v>21</v>
      </c>
      <c r="I440" s="839" t="s">
        <v>21</v>
      </c>
    </row>
    <row r="441" spans="1:9" x14ac:dyDescent="0.25">
      <c r="A441" s="10"/>
      <c r="B441" s="11"/>
      <c r="C441" s="11"/>
      <c r="D441" s="121" t="s">
        <v>888</v>
      </c>
      <c r="E441" s="854">
        <f t="shared" si="5"/>
        <v>1008</v>
      </c>
      <c r="F441" s="855">
        <f t="shared" si="5"/>
        <v>1182</v>
      </c>
      <c r="G441" s="625">
        <v>1126</v>
      </c>
      <c r="H441" s="839" t="s">
        <v>21</v>
      </c>
      <c r="I441" s="839" t="s">
        <v>21</v>
      </c>
    </row>
    <row r="442" spans="1:9" x14ac:dyDescent="0.25">
      <c r="A442" s="992"/>
      <c r="D442" s="190" t="s">
        <v>882</v>
      </c>
      <c r="E442" s="890">
        <f t="shared" si="5"/>
        <v>3627</v>
      </c>
      <c r="F442" s="891">
        <f t="shared" si="5"/>
        <v>3575</v>
      </c>
      <c r="G442" s="666">
        <v>3110</v>
      </c>
      <c r="H442" s="839" t="s">
        <v>21</v>
      </c>
      <c r="I442" s="451" t="s">
        <v>892</v>
      </c>
    </row>
    <row r="443" spans="1:9" x14ac:dyDescent="0.25">
      <c r="A443" s="992"/>
      <c r="D443" s="210" t="s">
        <v>416</v>
      </c>
      <c r="E443" s="1006">
        <f>E442+E439</f>
        <v>6473</v>
      </c>
      <c r="F443" s="1007">
        <f>F442+F439</f>
        <v>6490</v>
      </c>
      <c r="G443" s="1008">
        <f>G442+G439</f>
        <v>5886</v>
      </c>
      <c r="H443" s="222"/>
      <c r="I443" s="222"/>
    </row>
    <row r="444" spans="1:9" x14ac:dyDescent="0.25">
      <c r="A444" s="10"/>
      <c r="C444" s="104" t="s">
        <v>893</v>
      </c>
      <c r="D444" s="105"/>
      <c r="E444" s="848"/>
      <c r="F444" s="849"/>
      <c r="G444" s="612"/>
      <c r="H444" s="611"/>
      <c r="I444" s="995"/>
    </row>
    <row r="445" spans="1:9" x14ac:dyDescent="0.25">
      <c r="A445" s="992"/>
      <c r="D445" s="190" t="s">
        <v>879</v>
      </c>
      <c r="E445" s="890">
        <f>F417</f>
        <v>0</v>
      </c>
      <c r="F445" s="891">
        <f>G417</f>
        <v>0</v>
      </c>
      <c r="G445" s="666">
        <v>0</v>
      </c>
      <c r="H445" s="839" t="s">
        <v>21</v>
      </c>
      <c r="I445" s="451" t="s">
        <v>909</v>
      </c>
    </row>
    <row r="446" spans="1:9" x14ac:dyDescent="0.25">
      <c r="A446" s="992"/>
      <c r="D446" s="190" t="s">
        <v>882</v>
      </c>
      <c r="E446" s="890">
        <f>F418</f>
        <v>495</v>
      </c>
      <c r="F446" s="891">
        <f>G418</f>
        <v>355</v>
      </c>
      <c r="G446" s="666">
        <v>341</v>
      </c>
      <c r="H446" s="839" t="s">
        <v>21</v>
      </c>
      <c r="I446" s="451" t="s">
        <v>909</v>
      </c>
    </row>
    <row r="447" spans="1:9" x14ac:dyDescent="0.25">
      <c r="A447" s="992"/>
      <c r="D447" s="210" t="s">
        <v>416</v>
      </c>
      <c r="E447" s="1006">
        <f>E446</f>
        <v>495</v>
      </c>
      <c r="F447" s="1007">
        <f>F446</f>
        <v>355</v>
      </c>
      <c r="G447" s="1008">
        <f>G446</f>
        <v>341</v>
      </c>
      <c r="H447" s="222"/>
      <c r="I447" s="222"/>
    </row>
    <row r="448" spans="1:9" x14ac:dyDescent="0.25">
      <c r="I448"/>
    </row>
  </sheetData>
  <dataConsolidate/>
  <mergeCells count="1">
    <mergeCell ref="B1:D2"/>
  </mergeCells>
  <conditionalFormatting sqref="E363:E365">
    <cfRule type="containsText" dxfId="29" priority="5" operator="containsText" text="FALSE">
      <formula>NOT(ISERROR(SEARCH("FALSE",E363)))</formula>
    </cfRule>
    <cfRule type="containsText" dxfId="28" priority="6" operator="containsText" text="TRUE">
      <formula>NOT(ISERROR(SEARCH("TRUE",E363)))</formula>
    </cfRule>
  </conditionalFormatting>
  <conditionalFormatting sqref="E22:G24 E28:G30 E33:G33 E36:G37">
    <cfRule type="containsText" dxfId="27" priority="1" operator="containsText" text="FALSE">
      <formula>NOT(ISERROR(SEARCH("FALSE",E22)))</formula>
    </cfRule>
    <cfRule type="containsText" dxfId="26" priority="2" operator="containsText" text="TRUE">
      <formula>NOT(ISERROR(SEARCH("TRUE",E22)))</formula>
    </cfRule>
  </conditionalFormatting>
  <conditionalFormatting sqref="E41:G43 E47:G47 E50:G51 E55:G55 F59:F60">
    <cfRule type="containsText" dxfId="25" priority="8" operator="containsText" text="TRUE">
      <formula>NOT(ISERROR(SEARCH("TRUE",E41)))</formula>
    </cfRule>
  </conditionalFormatting>
  <conditionalFormatting sqref="E58:G63">
    <cfRule type="containsText" dxfId="24" priority="3" operator="containsText" text="FALSE">
      <formula>NOT(ISERROR(SEARCH("FALSE",E58)))</formula>
    </cfRule>
    <cfRule type="containsText" dxfId="23" priority="4" operator="containsText" text="TRUE">
      <formula>NOT(ISERROR(SEARCH("TRUE",E58)))</formula>
    </cfRule>
  </conditionalFormatting>
  <conditionalFormatting sqref="E165:G166">
    <cfRule type="containsText" dxfId="22" priority="13" operator="containsText" text="FALSE">
      <formula>NOT(ISERROR(SEARCH("FALSE",E165)))</formula>
    </cfRule>
    <cfRule type="containsText" dxfId="21" priority="14" operator="containsText" text="TRUE">
      <formula>NOT(ISERROR(SEARCH("TRUE",E165)))</formula>
    </cfRule>
  </conditionalFormatting>
  <conditionalFormatting sqref="E187:G187">
    <cfRule type="containsText" dxfId="20" priority="11" operator="containsText" text="FALSE">
      <formula>NOT(ISERROR(SEARCH("FALSE",E187)))</formula>
    </cfRule>
    <cfRule type="containsText" dxfId="19" priority="12" operator="containsText" text="TRUE">
      <formula>NOT(ISERROR(SEARCH("TRUE",E187)))</formula>
    </cfRule>
  </conditionalFormatting>
  <conditionalFormatting sqref="E204:G206 E244:H244">
    <cfRule type="containsText" dxfId="18" priority="9" operator="containsText" text="FALSE">
      <formula>NOT(ISERROR(SEARCH("FALSE",E204)))</formula>
    </cfRule>
    <cfRule type="containsText" dxfId="17" priority="10" operator="containsText" text="TRUE">
      <formula>NOT(ISERROR(SEARCH("TRUE",E204)))</formula>
    </cfRule>
  </conditionalFormatting>
  <conditionalFormatting sqref="E258:G258">
    <cfRule type="containsText" dxfId="16" priority="23" operator="containsText" text="FALSE">
      <formula>NOT(ISERROR(SEARCH("FALSE",E258)))</formula>
    </cfRule>
    <cfRule type="containsText" dxfId="15" priority="24" operator="containsText" text="TRUE">
      <formula>NOT(ISERROR(SEARCH("TRUE",E258)))</formula>
    </cfRule>
  </conditionalFormatting>
  <conditionalFormatting sqref="E272:G274">
    <cfRule type="containsText" dxfId="14" priority="19" operator="containsText" text="FALSE">
      <formula>NOT(ISERROR(SEARCH("FALSE",E272)))</formula>
    </cfRule>
    <cfRule type="containsText" dxfId="13" priority="20" operator="containsText" text="TRUE">
      <formula>NOT(ISERROR(SEARCH("TRUE",E272)))</formula>
    </cfRule>
  </conditionalFormatting>
  <conditionalFormatting sqref="E292:G293 E314:G314">
    <cfRule type="containsText" dxfId="12" priority="21" operator="containsText" text="FALSE">
      <formula>NOT(ISERROR(SEARCH("FALSE",E292)))</formula>
    </cfRule>
    <cfRule type="containsText" dxfId="11" priority="22" operator="containsText" text="TRUE">
      <formula>NOT(ISERROR(SEARCH("TRUE",E292)))</formula>
    </cfRule>
  </conditionalFormatting>
  <conditionalFormatting sqref="E324:G325 E332:G332">
    <cfRule type="containsText" dxfId="10" priority="17" operator="containsText" text="FALSE">
      <formula>NOT(ISERROR(SEARCH("FALSE",E324)))</formula>
    </cfRule>
    <cfRule type="containsText" dxfId="9" priority="18" operator="containsText" text="TRUE">
      <formula>NOT(ISERROR(SEARCH("TRUE",E324)))</formula>
    </cfRule>
  </conditionalFormatting>
  <conditionalFormatting sqref="E337:G337 E347:I350">
    <cfRule type="containsText" dxfId="8" priority="15" operator="containsText" text="FALSE">
      <formula>NOT(ISERROR(SEARCH("FALSE",E337)))</formula>
    </cfRule>
    <cfRule type="containsText" dxfId="7" priority="16" operator="containsText" text="TRUE">
      <formula>NOT(ISERROR(SEARCH("TRUE",E337)))</formula>
    </cfRule>
  </conditionalFormatting>
  <conditionalFormatting sqref="E118:H121">
    <cfRule type="containsText" dxfId="6" priority="27" operator="containsText" text="FALSE">
      <formula>NOT(ISERROR(SEARCH("FALSE",E118)))</formula>
    </cfRule>
    <cfRule type="containsText" dxfId="5" priority="28" operator="containsText" text="TRUE">
      <formula>NOT(ISERROR(SEARCH("TRUE",E118)))</formula>
    </cfRule>
  </conditionalFormatting>
  <conditionalFormatting sqref="E153:H156 E344:G344 E352:I352 E353:H353 E354:I357 E358:H358 E359:I367">
    <cfRule type="containsText" dxfId="4" priority="30" operator="containsText" text="TRUE">
      <formula>NOT(ISERROR(SEARCH("TRUE",E153)))</formula>
    </cfRule>
  </conditionalFormatting>
  <conditionalFormatting sqref="E190:H190">
    <cfRule type="containsText" dxfId="3" priority="25" operator="containsText" text="FALSE">
      <formula>NOT(ISERROR(SEARCH("FALSE",E190)))</formula>
    </cfRule>
    <cfRule type="containsText" dxfId="2" priority="26" operator="containsText" text="TRUE">
      <formula>NOT(ISERROR(SEARCH("TRUE",E190)))</formula>
    </cfRule>
  </conditionalFormatting>
  <conditionalFormatting sqref="E359:I367 E153:H156 E344:G344 E352:I352 E353:H353 E354:I357 E358:H358">
    <cfRule type="containsText" dxfId="1" priority="29" operator="containsText" text="FALSE">
      <formula>NOT(ISERROR(SEARCH("FALSE",E153)))</formula>
    </cfRule>
  </conditionalFormatting>
  <conditionalFormatting sqref="F59:F60 E41:G43 E47:G47 E50:G51 E55:G55">
    <cfRule type="containsText" dxfId="0" priority="7" operator="containsText" text="FALSE">
      <formula>NOT(ISERROR(SEARCH("FALSE",E41)))</formula>
    </cfRule>
  </conditionalFormatting>
  <dataValidations count="1">
    <dataValidation type="list" allowBlank="1" showInputMessage="1" showErrorMessage="1" sqref="E276:F276" xr:uid="{D55006CF-BC66-454C-9BB9-9B0A2DE9911F}">
      <formula1>"Y, N"</formula1>
    </dataValidation>
  </dataValidations>
  <pageMargins left="0.7" right="0.7" top="0.75" bottom="0.75" header="0.3" footer="0.3"/>
  <pageSetup paperSize="9" orientation="portrait" r:id="rId1"/>
  <headerFooter>
    <oddFooter>&amp;C&amp;7&amp;B&amp;"Arial"Document Classification: KPMG Confidential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Achmea</vt:lpstr>
      <vt:lpstr>ASR</vt:lpstr>
      <vt:lpstr>Athora</vt:lpstr>
      <vt:lpstr>NN</vt:lpstr>
    </vt:vector>
  </TitlesOfParts>
  <Company>KPMG NL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Arnab</dc:creator>
  <cp:lastModifiedBy>Gupta, Arnab</cp:lastModifiedBy>
  <dcterms:created xsi:type="dcterms:W3CDTF">2026-04-14T20:39:11Z</dcterms:created>
  <dcterms:modified xsi:type="dcterms:W3CDTF">2026-04-14T20:39:40Z</dcterms:modified>
</cp:coreProperties>
</file>